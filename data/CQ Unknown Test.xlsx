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<sst xmlns="http://schemas.openxmlformats.org/spreadsheetml/2006/main" count="386" uniqueCount="386">
  <si>
    <t>IGNORE THIS</t>
  </si>
  <si>
    <t>Time</t>
  </si>
  <si>
    <t>Closed Quotient</t>
  </si>
  <si>
    <t>Time 0.00s → Contact Quotient: 0.0</t>
  </si>
  <si>
    <t>Time 0.05s → Contact Quotient: 0.0</t>
  </si>
  <si>
    <t>Time 0.10s → Contact Quotient: 0.0</t>
  </si>
  <si>
    <t>Time 0.15s → Contact Quotient: 0.0</t>
  </si>
  <si>
    <t>Time 0.20s → Contact Quotient: 0.0</t>
  </si>
  <si>
    <t>Time 0.25s → Contact Quotient: 0.0</t>
  </si>
  <si>
    <t>Time 0.30s → Contact Quotient: 0.0</t>
  </si>
  <si>
    <t>Time 0.35s → Contact Quotient: 0.0</t>
  </si>
  <si>
    <t>Time 0.40s → Contact Quotient: 0.0</t>
  </si>
  <si>
    <t>Time 0.45s → Contact Quotient: 0.0</t>
  </si>
  <si>
    <t>Time 0.50s → Contact Quotient: 0.0</t>
  </si>
  <si>
    <t>Time 0.55s → Contact Quotient: 0.0</t>
  </si>
  <si>
    <t>Time 0.60s → Contact Quotient: 0.0</t>
  </si>
  <si>
    <t>Time 0.65s → Contact Quotient: 0.0</t>
  </si>
  <si>
    <t>Time 0.70s → Contact Quotient: 0.0</t>
  </si>
  <si>
    <t>Time 0.75s → Contact Quotient: 0.0</t>
  </si>
  <si>
    <t>Time 0.80s → Contact Quotient: 0.0</t>
  </si>
  <si>
    <t>Time 0.85s → Contact Quotient: 0.0</t>
  </si>
  <si>
    <t>Time 0.90s → Contact Quotient: 0.0</t>
  </si>
  <si>
    <t>Time 0.95s → Contact Quotient: 0.0</t>
  </si>
  <si>
    <t>Time 1.00s → Contact Quotient: 0.0</t>
  </si>
  <si>
    <t>Time 1.05s → Contact Quotient: 0.0</t>
  </si>
  <si>
    <t>Time 1.10s → Contact Quotient: 0.0</t>
  </si>
  <si>
    <t>Time 1.15s → Contact Quotient: 0.0</t>
  </si>
  <si>
    <t>Time 1.20s → Contact Quotient: 0.0</t>
  </si>
  <si>
    <t>Time 1.25s → Contact Quotient: 0.0</t>
  </si>
  <si>
    <t>Time 1.30s → Contact Quotient: 0.0</t>
  </si>
  <si>
    <t>Time 1.35s → Contact Quotient: 0.0</t>
  </si>
  <si>
    <t>Time 1.40s → Contact Quotient: 0.0</t>
  </si>
  <si>
    <t>Time 1.45s → Contact Quotient: 0.0</t>
  </si>
  <si>
    <t>Time 1.50s → Contact Quotient: 0.31</t>
  </si>
  <si>
    <t>Time 1.55s → Contact Quotient: 0.3</t>
  </si>
  <si>
    <t>Time 1.60s → Contact Quotient: 0.32</t>
  </si>
  <si>
    <t>Time 1.65s → Contact Quotient: 0.35</t>
  </si>
  <si>
    <t>Time 1.70s → Contact Quotient: 0.35</t>
  </si>
  <si>
    <t>Time 1.75s → Contact Quotient: 0.34</t>
  </si>
  <si>
    <t>Time 1.80s → Contact Quotient: 0.35</t>
  </si>
  <si>
    <t>Time 1.85s → Contact Quotient: 0.38</t>
  </si>
  <si>
    <t>Time 1.90s → Contact Quotient: 0.38</t>
  </si>
  <si>
    <t>Time 1.95s → Contact Quotient: 0.34</t>
  </si>
  <si>
    <t>Time 2.00s → Contact Quotient: 0.32</t>
  </si>
  <si>
    <t>Time 2.05s → Contact Quotient: 0.32</t>
  </si>
  <si>
    <t>Time 2.10s → Contact Quotient: 0.35</t>
  </si>
  <si>
    <t>Time 2.15s → Contact Quotient: 0.3</t>
  </si>
  <si>
    <t>Time 2.20s → Contact Quotient: 0.31</t>
  </si>
  <si>
    <t>Time 2.25s → Contact Quotient: 0.29</t>
  </si>
  <si>
    <t>Time 2.30s → Contact Quotient: 0.28</t>
  </si>
  <si>
    <t>Time 2.35s → Contact Quotient: 0.31</t>
  </si>
  <si>
    <t>Time 2.40s → Contact Quotient: 0.32</t>
  </si>
  <si>
    <t>Time 2.45s → Contact Quotient: 0.33</t>
  </si>
  <si>
    <t>Time 2.50s → Contact Quotient: 0.27</t>
  </si>
  <si>
    <t>Time 2.55s → Contact Quotient: 0.3</t>
  </si>
  <si>
    <t>Time 2.60s → Contact Quotient: 0.31</t>
  </si>
  <si>
    <t>Time 2.65s → Contact Quotient: 0.34</t>
  </si>
  <si>
    <t>Time 2.70s → Contact Quotient: 0.38</t>
  </si>
  <si>
    <t>Time 2.75s → Contact Quotient: 0.39</t>
  </si>
  <si>
    <t>Time 2.80s → Contact Quotient: 0.33</t>
  </si>
  <si>
    <t>Time 2.85s → Contact Quotient: 0.32</t>
  </si>
  <si>
    <t>Time 2.90s → Contact Quotient: 0.29</t>
  </si>
  <si>
    <t>Time 2.95s → Contact Quotient: 0.31</t>
  </si>
  <si>
    <t>Time 3.00s → Contact Quotient: 0.34</t>
  </si>
  <si>
    <t>Time 3.05s → Contact Quotient: 0.29</t>
  </si>
  <si>
    <t>Time 3.10s → Contact Quotient: 0.24</t>
  </si>
  <si>
    <t>Time 3.15s → Contact Quotient: 0.24</t>
  </si>
  <si>
    <t>Time 3.20s → Contact Quotient: 0.23</t>
  </si>
  <si>
    <t>Time 3.25s → Contact Quotient: 0.23</t>
  </si>
  <si>
    <t>Time 3.30s → Contact Quotient: 0.27</t>
  </si>
  <si>
    <t>Time 3.35s → Contact Quotient: 0.27</t>
  </si>
  <si>
    <t>Time 3.40s → Contact Quotient: 0.27</t>
  </si>
  <si>
    <t>Time 3.45s → Contact Quotient: 0.26</t>
  </si>
  <si>
    <t>Time 3.50s → Contact Quotient: 0.28</t>
  </si>
  <si>
    <t>Time 3.55s → Contact Quotient: 0.35</t>
  </si>
  <si>
    <t>Time 3.60s → Contact Quotient: 0.37</t>
  </si>
  <si>
    <t>Time 3.65s → Contact Quotient: 0.32</t>
  </si>
  <si>
    <t>Time 3.70s → Contact Quotient: 0.29</t>
  </si>
  <si>
    <t>Time 3.75s → Contact Quotient: 0.27</t>
  </si>
  <si>
    <t>Time 3.80s → Contact Quotient: 0.27</t>
  </si>
  <si>
    <t>Time 3.85s → Contact Quotient: 0.29</t>
  </si>
  <si>
    <t>Time 3.90s → Contact Quotient: 0.32</t>
  </si>
  <si>
    <t>Time 3.95s → Contact Quotient: 0.31</t>
  </si>
  <si>
    <t>Time 4.00s → Contact Quotient: 0.27</t>
  </si>
  <si>
    <t>Time 4.05s → Contact Quotient: 0.26</t>
  </si>
  <si>
    <t>Time 4.10s → Contact Quotient: 0.27</t>
  </si>
  <si>
    <t>Time 4.15s → Contact Quotient: 0.3</t>
  </si>
  <si>
    <t>Time 4.20s → Contact Quotient: 0.31</t>
  </si>
  <si>
    <t>Time 4.25s → Contact Quotient: 0.29</t>
  </si>
  <si>
    <t>Time 4.30s → Contact Quotient: 0.29</t>
  </si>
  <si>
    <t>Time 4.35s → Contact Quotient: 0.28</t>
  </si>
  <si>
    <t>Time 4.40s → Contact Quotient: 0.28</t>
  </si>
  <si>
    <t>Time 4.45s → Contact Quotient: 0.28</t>
  </si>
  <si>
    <t>Time 4.50s → Contact Quotient: 0.3</t>
  </si>
  <si>
    <t>Time 4.55s → Contact Quotient: 0.33</t>
  </si>
  <si>
    <t>Time 4.60s → Contact Quotient: 0.33</t>
  </si>
  <si>
    <t>Time 4.65s → Contact Quotient: 0.29</t>
  </si>
  <si>
    <t>Time 4.70s → Contact Quotient: 0.29</t>
  </si>
  <si>
    <t>Time 4.75s → Contact Quotient: 0.29</t>
  </si>
  <si>
    <t>Time 4.80s → Contact Quotient: 0.29</t>
  </si>
  <si>
    <t>Time 4.85s → Contact Quotient: 0.33</t>
  </si>
  <si>
    <t>Time 4.90s → Contact Quotient: 0.27</t>
  </si>
  <si>
    <t>Time 4.95s → Contact Quotient: 0.27</t>
  </si>
  <si>
    <t>Time 5.00s → Contact Quotient: 0.27</t>
  </si>
  <si>
    <t>Time 5.05s → Contact Quotient: 0.28</t>
  </si>
  <si>
    <t>Time 5.10s → Contact Quotient: 0.28</t>
  </si>
  <si>
    <t>Time 5.15s → Contact Quotient: 0.28</t>
  </si>
  <si>
    <t>Time 5.20s → Contact Quotient: 0.28</t>
  </si>
  <si>
    <t>Time 5.25s → Contact Quotient: 0.28</t>
  </si>
  <si>
    <t>Time 5.30s → Contact Quotient: 0.28</t>
  </si>
  <si>
    <t>Time 5.35s → Contact Quotient: 0.28</t>
  </si>
  <si>
    <t>Time 5.40s → Contact Quotient: 0.28</t>
  </si>
  <si>
    <t>Time 5.45s → Contact Quotient: 0.28</t>
  </si>
  <si>
    <t>Time 5.50s → Contact Quotient: 0.28</t>
  </si>
  <si>
    <t>Time 5.55s → Contact Quotient: 0.28</t>
  </si>
  <si>
    <t>Time 5.60s → Contact Quotient: 0.28</t>
  </si>
  <si>
    <t>Time 5.65s → Contact Quotient: 0.28</t>
  </si>
  <si>
    <t>Time 5.70s → Contact Quotient: 0.28</t>
  </si>
  <si>
    <t>Time 5.75s → Contact Quotient: 0.28</t>
  </si>
  <si>
    <t>Time 5.80s → Contact Quotient: 0.28</t>
  </si>
  <si>
    <t>Time 5.85s → Contact Quotient: 0.28</t>
  </si>
  <si>
    <t>Time 5.90s → Contact Quotient: 0.28</t>
  </si>
  <si>
    <t>Time 5.95s → Contact Quotient: 0.28</t>
  </si>
  <si>
    <t>Time 6.00s → Contact Quotient: 0.28</t>
  </si>
  <si>
    <t>Time 6.05s → Contact Quotient: 0.28</t>
  </si>
  <si>
    <t>Time 6.10s → Contact Quotient: 0.3</t>
  </si>
  <si>
    <t>Time 6.15s → Contact Quotient: 0.34</t>
  </si>
  <si>
    <t>Time 6.20s → Contact Quotient: 0.3</t>
  </si>
  <si>
    <t>Time 6.25s → Contact Quotient: 0.3</t>
  </si>
  <si>
    <t>Time 6.30s → Contact Quotient: 0.3</t>
  </si>
  <si>
    <t>Time 6.35s → Contact Quotient: 0.29</t>
  </si>
  <si>
    <t>Time 6.40s → Contact Quotient: 0.33</t>
  </si>
  <si>
    <t>Time 6.45s → Contact Quotient: 0.33</t>
  </si>
  <si>
    <t>Time 6.50s → Contact Quotient: 0.36</t>
  </si>
  <si>
    <t>Time 6.55s → Contact Quotient: 0.37</t>
  </si>
  <si>
    <t>Time 6.60s → Contact Quotient: 0.35</t>
  </si>
  <si>
    <t>Time 6.65s → Contact Quotient: 0.33</t>
  </si>
  <si>
    <t>Time 6.70s → Contact Quotient: 0.29</t>
  </si>
  <si>
    <t>Time 6.75s → Contact Quotient: 0.3</t>
  </si>
  <si>
    <t>Time 6.80s → Contact Quotient: 0.32</t>
  </si>
  <si>
    <t>Time 6.85s → Contact Quotient: 0.35</t>
  </si>
  <si>
    <t>Time 6.90s → Contact Quotient: 0.35</t>
  </si>
  <si>
    <t>Time 6.95s → Contact Quotient: 0.34</t>
  </si>
  <si>
    <t>Time 7.00s → Contact Quotient: 0.32</t>
  </si>
  <si>
    <t>Time 7.05s → Contact Quotient: 0.27</t>
  </si>
  <si>
    <t>Time 7.10s → Contact Quotient: 0.29</t>
  </si>
  <si>
    <t>Time 7.15s → Contact Quotient: 0.36</t>
  </si>
  <si>
    <t>Time 7.20s → Contact Quotient: 0.39</t>
  </si>
  <si>
    <t>Time 7.25s → Contact Quotient: 0.35</t>
  </si>
  <si>
    <t>Time 7.30s → Contact Quotient: 0.29</t>
  </si>
  <si>
    <t>Time 7.35s → Contact Quotient: 0.29</t>
  </si>
  <si>
    <t>Time 7.40s → Contact Quotient: 0.28</t>
  </si>
  <si>
    <t>Time 7.45s → Contact Quotient: 0.28</t>
  </si>
  <si>
    <t>Time 7.50s → Contact Quotient: 0.32</t>
  </si>
  <si>
    <t>Time 7.55s → Contact Quotient: 0.32</t>
  </si>
  <si>
    <t>Time 7.60s → Contact Quotient: 0.34</t>
  </si>
  <si>
    <t>Time 7.65s → Contact Quotient: 0.36</t>
  </si>
  <si>
    <t>Time 7.70s → Contact Quotient: 0.36</t>
  </si>
  <si>
    <t>Time 7.75s → Contact Quotient: 0.37</t>
  </si>
  <si>
    <t>Time 7.80s → Contact Quotient: 0.35</t>
  </si>
  <si>
    <t>Time 7.85s → Contact Quotient: 0.35</t>
  </si>
  <si>
    <t>Time 7.90s → Contact Quotient: 0.38</t>
  </si>
  <si>
    <t>Time 7.95s → Contact Quotient: 0.38</t>
  </si>
  <si>
    <t>Time 8.00s → Contact Quotient: 0.38</t>
  </si>
  <si>
    <t>Time 8.05s → Contact Quotient: 0.38</t>
  </si>
  <si>
    <t>Time 8.10s → Contact Quotient: 0.38</t>
  </si>
  <si>
    <t>Time 8.15s → Contact Quotient: 0.38</t>
  </si>
  <si>
    <t>Time 8.20s → Contact Quotient: 0.38</t>
  </si>
  <si>
    <t>Time 8.25s → Contact Quotient: 0.38</t>
  </si>
  <si>
    <t>Time 8.30s → Contact Quotient: 0.38</t>
  </si>
  <si>
    <t>Time 8.35s → Contact Quotient: 0.38</t>
  </si>
  <si>
    <t>Time 8.40s → Contact Quotient: 0.38</t>
  </si>
  <si>
    <t>Time 8.45s → Contact Quotient: 0.38</t>
  </si>
  <si>
    <t>Time 8.50s → Contact Quotient: 0.38</t>
  </si>
  <si>
    <t>Time 8.55s → Contact Quotient: 0.38</t>
  </si>
  <si>
    <t>Time 8.60s → Contact Quotient: 0.33</t>
  </si>
  <si>
    <t>Time 8.65s → Contact Quotient: 0.39</t>
  </si>
  <si>
    <t>Time 8.70s → Contact Quotient: 0.39</t>
  </si>
  <si>
    <t>Time 8.75s → Contact Quotient: 0.39</t>
  </si>
  <si>
    <t>Time 8.80s → Contact Quotient: 0.39</t>
  </si>
  <si>
    <t>Time 8.85s → Contact Quotient: 0.39</t>
  </si>
  <si>
    <t>Time 8.90s → Contact Quotient: 0.38</t>
  </si>
  <si>
    <t>Time 8.95s → Contact Quotient: 0.42</t>
  </si>
  <si>
    <t>Time 9.00s → Contact Quotient: 0.42</t>
  </si>
  <si>
    <t>Time 9.05s → Contact Quotient: 0.42</t>
  </si>
  <si>
    <t>Time 9.10s → Contact Quotient: 0.42</t>
  </si>
  <si>
    <t>Time 9.15s → Contact Quotient: 0.42</t>
  </si>
  <si>
    <t>Time 9.20s → Contact Quotient: 0.42</t>
  </si>
  <si>
    <t>Time 9.25s → Contact Quotient: 0.38</t>
  </si>
  <si>
    <t>Time 9.30s → Contact Quotient: 0.38</t>
  </si>
  <si>
    <t>Time 9.35s → Contact Quotient: 0.38</t>
  </si>
  <si>
    <t>Time 9.40s → Contact Quotient: 0.38</t>
  </si>
  <si>
    <t>Time 9.45s → Contact Quotient: 0.38</t>
  </si>
  <si>
    <t>Time 9.50s → Contact Quotient: 0.38</t>
  </si>
  <si>
    <t>Time 9.55s → Contact Quotient: 0.38</t>
  </si>
  <si>
    <t>Time 9.60s → Contact Quotient: 0.38</t>
  </si>
  <si>
    <t>Time 9.65s → Contact Quotient: 0.38</t>
  </si>
  <si>
    <t>Time 9.70s → Contact Quotient: 0.45</t>
  </si>
  <si>
    <t>Time 9.75s → Contact Quotient: 0.37</t>
  </si>
  <si>
    <t>Time 9.80s → Contact Quotient: 0.37</t>
  </si>
  <si>
    <t>Time 9.85s → Contact Quotient: 0.37</t>
  </si>
  <si>
    <t>Time 9.90s → Contact Quotient: 0.37</t>
  </si>
  <si>
    <t>Time 9.95s → Contact Quotient: 0.37</t>
  </si>
  <si>
    <t>Time 10.00s → Contact Quotient: 0.37</t>
  </si>
  <si>
    <t>Time 10.05s → Contact Quotient: 0.37</t>
  </si>
  <si>
    <t>Time 10.10s → Contact Quotient: 0.37</t>
  </si>
  <si>
    <t>Time 10.15s → Contact Quotient: 0.37</t>
  </si>
  <si>
    <t>Time 10.20s → Contact Quotient: 0.37</t>
  </si>
  <si>
    <t>Time 10.25s → Contact Quotient: 0.37</t>
  </si>
  <si>
    <t>Time 10.30s → Contact Quotient: 0.37</t>
  </si>
  <si>
    <t>Time 10.35s → Contact Quotient: 0.37</t>
  </si>
  <si>
    <t>Time 10.40s → Contact Quotient: 0.37</t>
  </si>
  <si>
    <t>Time 10.45s → Contact Quotient: 0.37</t>
  </si>
  <si>
    <t>Time 10.50s → Contact Quotient: 0.37</t>
  </si>
  <si>
    <t>Time 10.55s → Contact Quotient: 0.37</t>
  </si>
  <si>
    <t>Time 10.60s → Contact Quotient: 0.37</t>
  </si>
  <si>
    <t>Time 10.65s → Contact Quotient: 0.37</t>
  </si>
  <si>
    <t>Time 10.70s → Contact Quotient: 0.37</t>
  </si>
  <si>
    <t>Time 10.75s → Contact Quotient: 0.37</t>
  </si>
  <si>
    <t>Time 10.80s → Contact Quotient: 0.37</t>
  </si>
  <si>
    <t>Time 10.85s → Contact Quotient: 0.37</t>
  </si>
  <si>
    <t>Time 10.90s → Contact Quotient: 0.37</t>
  </si>
  <si>
    <t>Time 10.95s → Contact Quotient: 0.37</t>
  </si>
  <si>
    <t>Time 11.00s → Contact Quotient: 0.37</t>
  </si>
  <si>
    <t>Time 11.05s → Contact Quotient: 0.37</t>
  </si>
  <si>
    <t>Time 11.10s → Contact Quotient: 0.37</t>
  </si>
  <si>
    <t>Time 11.15s → Contact Quotient: 0.37</t>
  </si>
  <si>
    <t>Time 11.20s → Contact Quotient: 0.37</t>
  </si>
  <si>
    <t>Time 11.25s → Contact Quotient: 0.37</t>
  </si>
  <si>
    <t>Time 11.30s → Contact Quotient: 0.37</t>
  </si>
  <si>
    <t>Time 11.35s → Contact Quotient: 0.37</t>
  </si>
  <si>
    <t>Time 11.40s → Contact Quotient: 0.37</t>
  </si>
  <si>
    <t>Time 11.45s → Contact Quotient: 0.37</t>
  </si>
  <si>
    <t>Time 11.50s → Contact Quotient: 0.37</t>
  </si>
  <si>
    <t>Time 11.55s → Contact Quotient: 0.37</t>
  </si>
  <si>
    <t>Time 11.60s → Contact Quotient: 0.37</t>
  </si>
  <si>
    <t>Time 11.65s → Contact Quotient: 0.37</t>
  </si>
  <si>
    <t>Time 11.70s → Contact Quotient: 0.37</t>
  </si>
  <si>
    <t>Time 11.75s → Contact Quotient: 0.37</t>
  </si>
  <si>
    <t>Time 11.80s → Contact Quotient: 0.37</t>
  </si>
  <si>
    <t>Time 11.85s → Contact Quotient: 0.37</t>
  </si>
  <si>
    <t>Time 11.90s → Contact Quotient: 0.37</t>
  </si>
  <si>
    <t>Time 11.95s → Contact Quotient: 0.33</t>
  </si>
  <si>
    <t>Time 12.00s → Contact Quotient: 0.33</t>
  </si>
  <si>
    <t>Time 12.05s → Contact Quotient: 0.34</t>
  </si>
  <si>
    <t>Time 12.10s → Contact Quotient: 0.33</t>
  </si>
  <si>
    <t>Time 12.15s → Contact Quotient: 0.32</t>
  </si>
  <si>
    <t>Time 12.20s → Contact Quotient: 0.31</t>
  </si>
  <si>
    <t>Time 12.25s → Contact Quotient: 0.31</t>
  </si>
  <si>
    <t>Time 12.30s → Contact Quotient: 0.35</t>
  </si>
  <si>
    <t>Time 12.35s → Contact Quotient: 0.33</t>
  </si>
  <si>
    <t>Time 12.40s → Contact Quotient: 0.31</t>
  </si>
  <si>
    <t>Time 12.45s → Contact Quotient: 0.29</t>
  </si>
  <si>
    <t>Time 12.50s → Contact Quotient: 0.33</t>
  </si>
  <si>
    <t>Time 12.55s → Contact Quotient: 0.36</t>
  </si>
  <si>
    <t>Time 12.60s → Contact Quotient: 0.36</t>
  </si>
  <si>
    <t>Time 12.65s → Contact Quotient: 0.36</t>
  </si>
  <si>
    <t>Time 12.70s → Contact Quotient: 0.36</t>
  </si>
  <si>
    <t>Time 12.75s → Contact Quotient: 0.33</t>
  </si>
  <si>
    <t>Time 12.80s → Contact Quotient: 0.24</t>
  </si>
  <si>
    <t>Time 12.85s → Contact Quotient: 0.0</t>
  </si>
  <si>
    <t>Time 12.90s → Contact Quotient: 0.0</t>
  </si>
  <si>
    <t>Time 12.95s → Contact Quotient: 0.0</t>
  </si>
  <si>
    <t>Time 13.00s → Contact Quotient: 0.0</t>
  </si>
  <si>
    <t>Time 13.05s → Contact Quotient: 0.0</t>
  </si>
  <si>
    <t>Time 13.10s → Contact Quotient: 0.0</t>
  </si>
  <si>
    <t>Time 13.15s → Contact Quotient: 0.0</t>
  </si>
  <si>
    <t>Time 13.20s → Contact Quotient: 0.0</t>
  </si>
  <si>
    <t>Time 13.25s → Contact Quotient: 0.0</t>
  </si>
  <si>
    <t>Time 13.30s → Contact Quotient: 0.0</t>
  </si>
  <si>
    <t>Time 13.35s → Contact Quotient: 0.0</t>
  </si>
  <si>
    <t>Time 13.40s → Contact Quotient: 0.0</t>
  </si>
  <si>
    <t>Time 13.45s → Contact Quotient: 0.0</t>
  </si>
  <si>
    <t>Time 13.50s → Contact Quotient: 0.34</t>
  </si>
  <si>
    <t>Time 13.55s → Contact Quotient: 0.35</t>
  </si>
  <si>
    <t>Time 13.60s → Contact Quotient: 0.36</t>
  </si>
  <si>
    <t>Time 13.65s → Contact Quotient: 0.35</t>
  </si>
  <si>
    <t>Time 13.70s → Contact Quotient: 0.3</t>
  </si>
  <si>
    <t>Time 13.75s → Contact Quotient: 0.34</t>
  </si>
  <si>
    <t>Time 13.80s → Contact Quotient: 0.36</t>
  </si>
  <si>
    <t>Time 13.85s → Contact Quotient: 0.36</t>
  </si>
  <si>
    <t>Time 13.90s → Contact Quotient: 0.36</t>
  </si>
  <si>
    <t>Time 13.95s → Contact Quotient: 0.32</t>
  </si>
  <si>
    <t>Time 14.00s → Contact Quotient: 0.32</t>
  </si>
  <si>
    <t>Time 14.05s → Contact Quotient: 0.31</t>
  </si>
  <si>
    <t>Time 14.10s → Contact Quotient: 0.31</t>
  </si>
  <si>
    <t>Time 14.15s → Contact Quotient: 0.31</t>
  </si>
  <si>
    <t>Time 14.20s → Contact Quotient: 0.34</t>
  </si>
  <si>
    <t>Time 14.25s → Contact Quotient: 0.28</t>
  </si>
  <si>
    <t>Time 14.30s → Contact Quotient: 0.28</t>
  </si>
  <si>
    <t>Time 14.35s → Contact Quotient: 0.33</t>
  </si>
  <si>
    <t>Time 14.40s → Contact Quotient: 0.34</t>
  </si>
  <si>
    <t>Time 14.45s → Contact Quotient: 0.33</t>
  </si>
  <si>
    <t>Time 14.50s → Contact Quotient: 0.3</t>
  </si>
  <si>
    <t>Time 14.55s → Contact Quotient: 0.29</t>
  </si>
  <si>
    <t>Time 14.60s → Contact Quotient: 0.3</t>
  </si>
  <si>
    <t>Time 14.65s → Contact Quotient: 0.33</t>
  </si>
  <si>
    <t>Time 14.70s → Contact Quotient: 0.3</t>
  </si>
  <si>
    <t>Time 14.75s → Contact Quotient: 0.28</t>
  </si>
  <si>
    <t>Time 14.80s → Contact Quotient: 0.28</t>
  </si>
  <si>
    <t>Time 14.85s → Contact Quotient: 0.29</t>
  </si>
  <si>
    <t>Time 14.90s → Contact Quotient: 0.31</t>
  </si>
  <si>
    <t>Time 14.95s → Contact Quotient: 0.3</t>
  </si>
  <si>
    <t>Time 15.00s → Contact Quotient: 0.28</t>
  </si>
  <si>
    <t>Time 15.05s → Contact Quotient: 0.28</t>
  </si>
  <si>
    <t>Time 15.10s → Contact Quotient: 0.28</t>
  </si>
  <si>
    <t>Time 15.15s → Contact Quotient: 0.34</t>
  </si>
  <si>
    <t>Time 15.20s → Contact Quotient: 0.34</t>
  </si>
  <si>
    <t>Time 15.25s → Contact Quotient: 0.33</t>
  </si>
  <si>
    <t>Time 15.30s → Contact Quotient: 0.3</t>
  </si>
  <si>
    <t>Time 15.35s → Contact Quotient: 0.3</t>
  </si>
  <si>
    <t>Time 15.40s → Contact Quotient: 0.28</t>
  </si>
  <si>
    <t>Time 15.45s → Contact Quotient: 0.3</t>
  </si>
  <si>
    <t>Time 15.50s → Contact Quotient: 0.36</t>
  </si>
  <si>
    <t>Time 15.55s → Contact Quotient: 0.35</t>
  </si>
  <si>
    <t>Time 15.60s → Contact Quotient: 0.35</t>
  </si>
  <si>
    <t>Time 15.65s → Contact Quotient: 0.3</t>
  </si>
  <si>
    <t>Time 15.70s → Contact Quotient: 0.3</t>
  </si>
  <si>
    <t>Time 15.75s → Contact Quotient: 0.3</t>
  </si>
  <si>
    <t>Time 15.80s → Contact Quotient: 0.3</t>
  </si>
  <si>
    <t>Time 15.85s → Contact Quotient: 0.29</t>
  </si>
  <si>
    <t>Time 15.90s → Contact Quotient: 0.29</t>
  </si>
  <si>
    <t>Time 15.95s → Contact Quotient: 0.3</t>
  </si>
  <si>
    <t>Time 16.00s → Contact Quotient: 0.31</t>
  </si>
  <si>
    <t>Time 16.05s → Contact Quotient: 0.3</t>
  </si>
  <si>
    <t>Time 16.10s → Contact Quotient: 0.29</t>
  </si>
  <si>
    <t>Time 16.15s → Contact Quotient: 0.29</t>
  </si>
  <si>
    <t>Time 16.20s → Contact Quotient: 0.3</t>
  </si>
  <si>
    <t>Time 16.25s → Contact Quotient: 0.32</t>
  </si>
  <si>
    <t>Time 16.30s → Contact Quotient: 0.32</t>
  </si>
  <si>
    <t>Time 16.35s → Contact Quotient: 0.3</t>
  </si>
  <si>
    <t>Time 16.40s → Contact Quotient: 0.28</t>
  </si>
  <si>
    <t>Time 16.45s → Contact Quotient: 0.3</t>
  </si>
  <si>
    <t>Time 16.50s → Contact Quotient: 0.31</t>
  </si>
  <si>
    <t>Time 16.55s → Contact Quotient: 0.34</t>
  </si>
  <si>
    <t>Time 16.60s → Contact Quotient: 0.32</t>
  </si>
  <si>
    <t>Time 16.65s → Contact Quotient: 0.3</t>
  </si>
  <si>
    <t>Time 16.70s → Contact Quotient: 0.29</t>
  </si>
  <si>
    <t>Time 16.75s → Contact Quotient: 0.29</t>
  </si>
  <si>
    <t>Time 16.80s → Contact Quotient: 0.29</t>
  </si>
  <si>
    <t>Time 16.85s → Contact Quotient: 0.32</t>
  </si>
  <si>
    <t>Time 16.90s → Contact Quotient: 0.33</t>
  </si>
  <si>
    <t>Time 16.95s → Contact Quotient: 0.33</t>
  </si>
  <si>
    <t>Time 17.00s → Contact Quotient: 0.33</t>
  </si>
  <si>
    <t>Time 17.05s → Contact Quotient: 0.33</t>
  </si>
  <si>
    <t>Time 17.10s → Contact Quotient: 0.31</t>
  </si>
  <si>
    <t>Time 17.15s → Contact Quotient: 0.31</t>
  </si>
  <si>
    <t>Time 17.20s → Contact Quotient: 0.26</t>
  </si>
  <si>
    <t>Time 17.25s → Contact Quotient: 0.31</t>
  </si>
  <si>
    <t>Time 17.30s → Contact Quotient: 0.32</t>
  </si>
  <si>
    <t>Time 17.35s → Contact Quotient: 0.32</t>
  </si>
  <si>
    <t>Time 17.40s → Contact Quotient: 0.31</t>
  </si>
  <si>
    <t>Time 17.45s → Contact Quotient: 0.3</t>
  </si>
  <si>
    <t>Time 17.50s → Contact Quotient: 0.31</t>
  </si>
  <si>
    <t>Time 17.55s → Contact Quotient: 0.35</t>
  </si>
  <si>
    <t>Time 17.60s → Contact Quotient: 0.35</t>
  </si>
  <si>
    <t>Time 17.65s → Contact Quotient: 0.35</t>
  </si>
  <si>
    <t>Time 17.70s → Contact Quotient: 0.32</t>
  </si>
  <si>
    <t>Time 17.75s → Contact Quotient: 0.3</t>
  </si>
  <si>
    <t>Time 17.80s → Contact Quotient: 0.31</t>
  </si>
  <si>
    <t>Time 17.85s → Contact Quotient: 0.34</t>
  </si>
  <si>
    <t>Time 17.90s → Contact Quotient: 0.34</t>
  </si>
  <si>
    <t>Time 17.95s → Contact Quotient: 0.32</t>
  </si>
  <si>
    <t>Time 18.00s → Contact Quotient: 0.3</t>
  </si>
  <si>
    <t>Time 18.05s → Contact Quotient: 0.29</t>
  </si>
  <si>
    <t>Time 18.10s → Contact Quotient: 0.3</t>
  </si>
  <si>
    <t>Time 18.15s → Contact Quotient: 0.34</t>
  </si>
  <si>
    <t>Time 18.20s → Contact Quotient: 0.34</t>
  </si>
  <si>
    <t>Time 18.25s → Contact Quotient: 0.31</t>
  </si>
  <si>
    <t>Time 18.30s → Contact Quotient: 0.3</t>
  </si>
  <si>
    <t>Time 18.35s → Contact Quotient: 0.28</t>
  </si>
  <si>
    <t>Time 18.40s → Contact Quotient: 0.33</t>
  </si>
  <si>
    <t>Time 18.45s → Contact Quotient: 0.35</t>
  </si>
  <si>
    <t>Time 18.50s → Contact Quotient: 0.33</t>
  </si>
  <si>
    <t>Time 18.55s → Contact Quotient: 0.32</t>
  </si>
  <si>
    <t>Time 18.60s → Contact Quotient: 0.32</t>
  </si>
  <si>
    <t>Time 18.65s → Contact Quotient: 0.3</t>
  </si>
  <si>
    <t>Time 18.70s → Contact Quotient: 0.37</t>
  </si>
  <si>
    <t>Time 18.75s → Contact Quotient: 0.38</t>
  </si>
  <si>
    <t>Time 18.80s → Contact Quotient: 0.39</t>
  </si>
  <si>
    <t>Time 18.85s → Contact Quotient: 0.37</t>
  </si>
  <si>
    <t>Time 18.90s → Contact Quotient: 0.36</t>
  </si>
  <si>
    <t>Time 18.95s → Contact Quotient: 0.39</t>
  </si>
  <si>
    <t>Time 19.00s → Contact Quotient: 0.38</t>
  </si>
  <si>
    <t>Time 19.05s → Contact Quotient: 0.37</t>
  </si>
  <si>
    <t>Time 19.10s → Contact Quotient: 0.34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</si>
</sst>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Closed Quotient vs.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Sheet1!$B$2:$B$384</c:f>
            </c:strRef>
          </c:cat>
          <c:val>
            <c:numRef>
              <c:f>Sheet1!$C$2:$C$384</c:f>
              <c:numCache/>
            </c:numRef>
          </c:val>
          <c:smooth val="0"/>
        </c:ser>
        <c:axId val="784985586"/>
        <c:axId val="1767752751"/>
      </c:lineChart>
      <c:catAx>
        <c:axId val="784985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752751"/>
      </c:catAx>
      <c:valAx>
        <c:axId val="1767752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Closed Quotient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985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3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f>IFERROR(__xludf.DUMMYFUNCTION("VALUE(REGEXEXTRACT(A2, ""Time ([0-9.]+)s""))"),0.0)</f>
        <v>0</v>
      </c>
      <c r="C2" s="2">
        <f>IFERROR(__xludf.DUMMYFUNCTION("VALUE(REGEXEXTRACT(A2, ""Contact Quotient: ([0-9.]+)""))"),0.0)</f>
        <v>0</v>
      </c>
    </row>
    <row r="3">
      <c r="A3" s="1" t="s">
        <v>4</v>
      </c>
      <c r="B3" s="2">
        <f>IFERROR(__xludf.DUMMYFUNCTION("VALUE(REGEXEXTRACT(A3, ""Time ([0-9.]+)s""))"),0.05)</f>
        <v>0.05</v>
      </c>
      <c r="C3" s="2">
        <f>IFERROR(__xludf.DUMMYFUNCTION("VALUE(REGEXEXTRACT(A3, ""Contact Quotient: ([0-9.]+)""))"),0.0)</f>
        <v>0</v>
      </c>
    </row>
    <row r="4">
      <c r="A4" s="1" t="s">
        <v>5</v>
      </c>
      <c r="B4" s="2">
        <f>IFERROR(__xludf.DUMMYFUNCTION("VALUE(REGEXEXTRACT(A4, ""Time ([0-9.]+)s""))"),0.1)</f>
        <v>0.1</v>
      </c>
      <c r="C4" s="2">
        <f>IFERROR(__xludf.DUMMYFUNCTION("VALUE(REGEXEXTRACT(A4, ""Contact Quotient: ([0-9.]+)""))"),0.0)</f>
        <v>0</v>
      </c>
    </row>
    <row r="5">
      <c r="A5" s="1" t="s">
        <v>6</v>
      </c>
      <c r="B5" s="2">
        <f>IFERROR(__xludf.DUMMYFUNCTION("VALUE(REGEXEXTRACT(A5, ""Time ([0-9.]+)s""))"),0.15)</f>
        <v>0.15</v>
      </c>
      <c r="C5" s="2">
        <f>IFERROR(__xludf.DUMMYFUNCTION("VALUE(REGEXEXTRACT(A5, ""Contact Quotient: ([0-9.]+)""))"),0.0)</f>
        <v>0</v>
      </c>
    </row>
    <row r="6">
      <c r="A6" s="1" t="s">
        <v>7</v>
      </c>
      <c r="B6" s="2">
        <f>IFERROR(__xludf.DUMMYFUNCTION("VALUE(REGEXEXTRACT(A6, ""Time ([0-9.]+)s""))"),0.2)</f>
        <v>0.2</v>
      </c>
      <c r="C6" s="2">
        <f>IFERROR(__xludf.DUMMYFUNCTION("VALUE(REGEXEXTRACT(A6, ""Contact Quotient: ([0-9.]+)""))"),0.0)</f>
        <v>0</v>
      </c>
    </row>
    <row r="7">
      <c r="A7" s="1" t="s">
        <v>8</v>
      </c>
      <c r="B7" s="2">
        <f>IFERROR(__xludf.DUMMYFUNCTION("VALUE(REGEXEXTRACT(A7, ""Time ([0-9.]+)s""))"),0.25)</f>
        <v>0.25</v>
      </c>
      <c r="C7" s="2">
        <f>IFERROR(__xludf.DUMMYFUNCTION("VALUE(REGEXEXTRACT(A7, ""Contact Quotient: ([0-9.]+)""))"),0.0)</f>
        <v>0</v>
      </c>
    </row>
    <row r="8">
      <c r="A8" s="1" t="s">
        <v>9</v>
      </c>
      <c r="B8" s="2">
        <f>IFERROR(__xludf.DUMMYFUNCTION("VALUE(REGEXEXTRACT(A8, ""Time ([0-9.]+)s""))"),0.3)</f>
        <v>0.3</v>
      </c>
      <c r="C8" s="2">
        <f>IFERROR(__xludf.DUMMYFUNCTION("VALUE(REGEXEXTRACT(A8, ""Contact Quotient: ([0-9.]+)""))"),0.0)</f>
        <v>0</v>
      </c>
    </row>
    <row r="9">
      <c r="A9" s="1" t="s">
        <v>10</v>
      </c>
      <c r="B9" s="2">
        <f>IFERROR(__xludf.DUMMYFUNCTION("VALUE(REGEXEXTRACT(A9, ""Time ([0-9.]+)s""))"),0.35)</f>
        <v>0.35</v>
      </c>
      <c r="C9" s="2">
        <f>IFERROR(__xludf.DUMMYFUNCTION("VALUE(REGEXEXTRACT(A9, ""Contact Quotient: ([0-9.]+)""))"),0.0)</f>
        <v>0</v>
      </c>
    </row>
    <row r="10">
      <c r="A10" s="1" t="s">
        <v>11</v>
      </c>
      <c r="B10" s="2">
        <f>IFERROR(__xludf.DUMMYFUNCTION("VALUE(REGEXEXTRACT(A10, ""Time ([0-9.]+)s""))"),0.4)</f>
        <v>0.4</v>
      </c>
      <c r="C10" s="2">
        <f>IFERROR(__xludf.DUMMYFUNCTION("VALUE(REGEXEXTRACT(A10, ""Contact Quotient: ([0-9.]+)""))"),0.0)</f>
        <v>0</v>
      </c>
    </row>
    <row r="11">
      <c r="A11" s="1" t="s">
        <v>12</v>
      </c>
      <c r="B11" s="2">
        <f>IFERROR(__xludf.DUMMYFUNCTION("VALUE(REGEXEXTRACT(A11, ""Time ([0-9.]+)s""))"),0.45)</f>
        <v>0.45</v>
      </c>
      <c r="C11" s="2">
        <f>IFERROR(__xludf.DUMMYFUNCTION("VALUE(REGEXEXTRACT(A11, ""Contact Quotient: ([0-9.]+)""))"),0.0)</f>
        <v>0</v>
      </c>
    </row>
    <row r="12">
      <c r="A12" s="1" t="s">
        <v>13</v>
      </c>
      <c r="B12" s="2">
        <f>IFERROR(__xludf.DUMMYFUNCTION("VALUE(REGEXEXTRACT(A12, ""Time ([0-9.]+)s""))"),0.5)</f>
        <v>0.5</v>
      </c>
      <c r="C12" s="2">
        <f>IFERROR(__xludf.DUMMYFUNCTION("VALUE(REGEXEXTRACT(A12, ""Contact Quotient: ([0-9.]+)""))"),0.0)</f>
        <v>0</v>
      </c>
    </row>
    <row r="13">
      <c r="A13" s="1" t="s">
        <v>14</v>
      </c>
      <c r="B13" s="2">
        <f>IFERROR(__xludf.DUMMYFUNCTION("VALUE(REGEXEXTRACT(A13, ""Time ([0-9.]+)s""))"),0.55)</f>
        <v>0.55</v>
      </c>
      <c r="C13" s="2">
        <f>IFERROR(__xludf.DUMMYFUNCTION("VALUE(REGEXEXTRACT(A13, ""Contact Quotient: ([0-9.]+)""))"),0.0)</f>
        <v>0</v>
      </c>
    </row>
    <row r="14">
      <c r="A14" s="1" t="s">
        <v>15</v>
      </c>
      <c r="B14" s="2">
        <f>IFERROR(__xludf.DUMMYFUNCTION("VALUE(REGEXEXTRACT(A14, ""Time ([0-9.]+)s""))"),0.6)</f>
        <v>0.6</v>
      </c>
      <c r="C14" s="2">
        <f>IFERROR(__xludf.DUMMYFUNCTION("VALUE(REGEXEXTRACT(A14, ""Contact Quotient: ([0-9.]+)""))"),0.0)</f>
        <v>0</v>
      </c>
    </row>
    <row r="15">
      <c r="A15" s="1" t="s">
        <v>16</v>
      </c>
      <c r="B15" s="2">
        <f>IFERROR(__xludf.DUMMYFUNCTION("VALUE(REGEXEXTRACT(A15, ""Time ([0-9.]+)s""))"),0.65)</f>
        <v>0.65</v>
      </c>
      <c r="C15" s="2">
        <f>IFERROR(__xludf.DUMMYFUNCTION("VALUE(REGEXEXTRACT(A15, ""Contact Quotient: ([0-9.]+)""))"),0.0)</f>
        <v>0</v>
      </c>
    </row>
    <row r="16">
      <c r="A16" s="1" t="s">
        <v>17</v>
      </c>
      <c r="B16" s="2">
        <f>IFERROR(__xludf.DUMMYFUNCTION("VALUE(REGEXEXTRACT(A16, ""Time ([0-9.]+)s""))"),0.7)</f>
        <v>0.7</v>
      </c>
      <c r="C16" s="2">
        <f>IFERROR(__xludf.DUMMYFUNCTION("VALUE(REGEXEXTRACT(A16, ""Contact Quotient: ([0-9.]+)""))"),0.0)</f>
        <v>0</v>
      </c>
    </row>
    <row r="17">
      <c r="A17" s="1" t="s">
        <v>18</v>
      </c>
      <c r="B17" s="2">
        <f>IFERROR(__xludf.DUMMYFUNCTION("VALUE(REGEXEXTRACT(A17, ""Time ([0-9.]+)s""))"),0.75)</f>
        <v>0.75</v>
      </c>
      <c r="C17" s="2">
        <f>IFERROR(__xludf.DUMMYFUNCTION("VALUE(REGEXEXTRACT(A17, ""Contact Quotient: ([0-9.]+)""))"),0.0)</f>
        <v>0</v>
      </c>
    </row>
    <row r="18">
      <c r="A18" s="1" t="s">
        <v>19</v>
      </c>
      <c r="B18" s="2">
        <f>IFERROR(__xludf.DUMMYFUNCTION("VALUE(REGEXEXTRACT(A18, ""Time ([0-9.]+)s""))"),0.8)</f>
        <v>0.8</v>
      </c>
      <c r="C18" s="2">
        <f>IFERROR(__xludf.DUMMYFUNCTION("VALUE(REGEXEXTRACT(A18, ""Contact Quotient: ([0-9.]+)""))"),0.0)</f>
        <v>0</v>
      </c>
    </row>
    <row r="19">
      <c r="A19" s="1" t="s">
        <v>20</v>
      </c>
      <c r="B19" s="2">
        <f>IFERROR(__xludf.DUMMYFUNCTION("VALUE(REGEXEXTRACT(A19, ""Time ([0-9.]+)s""))"),0.85)</f>
        <v>0.85</v>
      </c>
      <c r="C19" s="2">
        <f>IFERROR(__xludf.DUMMYFUNCTION("VALUE(REGEXEXTRACT(A19, ""Contact Quotient: ([0-9.]+)""))"),0.0)</f>
        <v>0</v>
      </c>
    </row>
    <row r="20">
      <c r="A20" s="1" t="s">
        <v>21</v>
      </c>
      <c r="B20" s="2">
        <f>IFERROR(__xludf.DUMMYFUNCTION("VALUE(REGEXEXTRACT(A20, ""Time ([0-9.]+)s""))"),0.9)</f>
        <v>0.9</v>
      </c>
      <c r="C20" s="2">
        <f>IFERROR(__xludf.DUMMYFUNCTION("VALUE(REGEXEXTRACT(A20, ""Contact Quotient: ([0-9.]+)""))"),0.0)</f>
        <v>0</v>
      </c>
    </row>
    <row r="21">
      <c r="A21" s="1" t="s">
        <v>22</v>
      </c>
      <c r="B21" s="2">
        <f>IFERROR(__xludf.DUMMYFUNCTION("VALUE(REGEXEXTRACT(A21, ""Time ([0-9.]+)s""))"),0.95)</f>
        <v>0.95</v>
      </c>
      <c r="C21" s="2">
        <f>IFERROR(__xludf.DUMMYFUNCTION("VALUE(REGEXEXTRACT(A21, ""Contact Quotient: ([0-9.]+)""))"),0.0)</f>
        <v>0</v>
      </c>
    </row>
    <row r="22">
      <c r="A22" s="1" t="s">
        <v>23</v>
      </c>
      <c r="B22" s="2">
        <f>IFERROR(__xludf.DUMMYFUNCTION("VALUE(REGEXEXTRACT(A22, ""Time ([0-9.]+)s""))"),1.0)</f>
        <v>1</v>
      </c>
      <c r="C22" s="2">
        <f>IFERROR(__xludf.DUMMYFUNCTION("VALUE(REGEXEXTRACT(A22, ""Contact Quotient: ([0-9.]+)""))"),0.0)</f>
        <v>0</v>
      </c>
    </row>
    <row r="23">
      <c r="A23" s="1" t="s">
        <v>24</v>
      </c>
      <c r="B23" s="2">
        <f>IFERROR(__xludf.DUMMYFUNCTION("VALUE(REGEXEXTRACT(A23, ""Time ([0-9.]+)s""))"),1.05)</f>
        <v>1.05</v>
      </c>
      <c r="C23" s="2">
        <f>IFERROR(__xludf.DUMMYFUNCTION("VALUE(REGEXEXTRACT(A23, ""Contact Quotient: ([0-9.]+)""))"),0.0)</f>
        <v>0</v>
      </c>
    </row>
    <row r="24">
      <c r="A24" s="1" t="s">
        <v>25</v>
      </c>
      <c r="B24" s="2">
        <f>IFERROR(__xludf.DUMMYFUNCTION("VALUE(REGEXEXTRACT(A24, ""Time ([0-9.]+)s""))"),1.1)</f>
        <v>1.1</v>
      </c>
      <c r="C24" s="2">
        <f>IFERROR(__xludf.DUMMYFUNCTION("VALUE(REGEXEXTRACT(A24, ""Contact Quotient: ([0-9.]+)""))"),0.0)</f>
        <v>0</v>
      </c>
    </row>
    <row r="25">
      <c r="A25" s="1" t="s">
        <v>26</v>
      </c>
      <c r="B25" s="2">
        <f>IFERROR(__xludf.DUMMYFUNCTION("VALUE(REGEXEXTRACT(A25, ""Time ([0-9.]+)s""))"),1.15)</f>
        <v>1.15</v>
      </c>
      <c r="C25" s="2">
        <f>IFERROR(__xludf.DUMMYFUNCTION("VALUE(REGEXEXTRACT(A25, ""Contact Quotient: ([0-9.]+)""))"),0.0)</f>
        <v>0</v>
      </c>
    </row>
    <row r="26">
      <c r="A26" s="1" t="s">
        <v>27</v>
      </c>
      <c r="B26" s="2">
        <f>IFERROR(__xludf.DUMMYFUNCTION("VALUE(REGEXEXTRACT(A26, ""Time ([0-9.]+)s""))"),1.2)</f>
        <v>1.2</v>
      </c>
      <c r="C26" s="2">
        <f>IFERROR(__xludf.DUMMYFUNCTION("VALUE(REGEXEXTRACT(A26, ""Contact Quotient: ([0-9.]+)""))"),0.0)</f>
        <v>0</v>
      </c>
    </row>
    <row r="27">
      <c r="A27" s="1" t="s">
        <v>28</v>
      </c>
      <c r="B27" s="2">
        <f>IFERROR(__xludf.DUMMYFUNCTION("VALUE(REGEXEXTRACT(A27, ""Time ([0-9.]+)s""))"),1.25)</f>
        <v>1.25</v>
      </c>
      <c r="C27" s="2">
        <f>IFERROR(__xludf.DUMMYFUNCTION("VALUE(REGEXEXTRACT(A27, ""Contact Quotient: ([0-9.]+)""))"),0.0)</f>
        <v>0</v>
      </c>
    </row>
    <row r="28">
      <c r="A28" s="1" t="s">
        <v>29</v>
      </c>
      <c r="B28" s="2">
        <f>IFERROR(__xludf.DUMMYFUNCTION("VALUE(REGEXEXTRACT(A28, ""Time ([0-9.]+)s""))"),1.3)</f>
        <v>1.3</v>
      </c>
      <c r="C28" s="2">
        <f>IFERROR(__xludf.DUMMYFUNCTION("VALUE(REGEXEXTRACT(A28, ""Contact Quotient: ([0-9.]+)""))"),0.0)</f>
        <v>0</v>
      </c>
    </row>
    <row r="29">
      <c r="A29" s="1" t="s">
        <v>30</v>
      </c>
      <c r="B29" s="2">
        <f>IFERROR(__xludf.DUMMYFUNCTION("VALUE(REGEXEXTRACT(A29, ""Time ([0-9.]+)s""))"),1.35)</f>
        <v>1.35</v>
      </c>
      <c r="C29" s="2">
        <f>IFERROR(__xludf.DUMMYFUNCTION("VALUE(REGEXEXTRACT(A29, ""Contact Quotient: ([0-9.]+)""))"),0.0)</f>
        <v>0</v>
      </c>
    </row>
    <row r="30">
      <c r="A30" s="1" t="s">
        <v>31</v>
      </c>
      <c r="B30" s="2">
        <f>IFERROR(__xludf.DUMMYFUNCTION("VALUE(REGEXEXTRACT(A30, ""Time ([0-9.]+)s""))"),1.4)</f>
        <v>1.4</v>
      </c>
      <c r="C30" s="2">
        <f>IFERROR(__xludf.DUMMYFUNCTION("VALUE(REGEXEXTRACT(A30, ""Contact Quotient: ([0-9.]+)""))"),0.0)</f>
        <v>0</v>
      </c>
    </row>
    <row r="31">
      <c r="A31" s="1" t="s">
        <v>32</v>
      </c>
      <c r="B31" s="2">
        <f>IFERROR(__xludf.DUMMYFUNCTION("VALUE(REGEXEXTRACT(A31, ""Time ([0-9.]+)s""))"),1.45)</f>
        <v>1.45</v>
      </c>
      <c r="C31" s="2">
        <f>IFERROR(__xludf.DUMMYFUNCTION("VALUE(REGEXEXTRACT(A31, ""Contact Quotient: ([0-9.]+)""))"),0.0)</f>
        <v>0</v>
      </c>
    </row>
    <row r="32">
      <c r="A32" s="1" t="s">
        <v>33</v>
      </c>
      <c r="B32" s="2">
        <f>IFERROR(__xludf.DUMMYFUNCTION("VALUE(REGEXEXTRACT(A32, ""Time ([0-9.]+)s""))"),1.5)</f>
        <v>1.5</v>
      </c>
      <c r="C32" s="2">
        <f>IFERROR(__xludf.DUMMYFUNCTION("VALUE(REGEXEXTRACT(A32, ""Contact Quotient: ([0-9.]+)""))"),0.31)</f>
        <v>0.31</v>
      </c>
    </row>
    <row r="33">
      <c r="A33" s="1" t="s">
        <v>34</v>
      </c>
      <c r="B33" s="2">
        <f>IFERROR(__xludf.DUMMYFUNCTION("VALUE(REGEXEXTRACT(A33, ""Time ([0-9.]+)s""))"),1.55)</f>
        <v>1.55</v>
      </c>
      <c r="C33" s="2">
        <f>IFERROR(__xludf.DUMMYFUNCTION("VALUE(REGEXEXTRACT(A33, ""Contact Quotient: ([0-9.]+)""))"),0.3)</f>
        <v>0.3</v>
      </c>
    </row>
    <row r="34">
      <c r="A34" s="1" t="s">
        <v>35</v>
      </c>
      <c r="B34" s="2">
        <f>IFERROR(__xludf.DUMMYFUNCTION("VALUE(REGEXEXTRACT(A34, ""Time ([0-9.]+)s""))"),1.6)</f>
        <v>1.6</v>
      </c>
      <c r="C34" s="2">
        <f>IFERROR(__xludf.DUMMYFUNCTION("VALUE(REGEXEXTRACT(A34, ""Contact Quotient: ([0-9.]+)""))"),0.32)</f>
        <v>0.32</v>
      </c>
    </row>
    <row r="35">
      <c r="A35" s="1" t="s">
        <v>36</v>
      </c>
      <c r="B35" s="2">
        <f>IFERROR(__xludf.DUMMYFUNCTION("VALUE(REGEXEXTRACT(A35, ""Time ([0-9.]+)s""))"),1.65)</f>
        <v>1.65</v>
      </c>
      <c r="C35" s="2">
        <f>IFERROR(__xludf.DUMMYFUNCTION("VALUE(REGEXEXTRACT(A35, ""Contact Quotient: ([0-9.]+)""))"),0.35)</f>
        <v>0.35</v>
      </c>
    </row>
    <row r="36">
      <c r="A36" s="1" t="s">
        <v>37</v>
      </c>
      <c r="B36" s="2">
        <f>IFERROR(__xludf.DUMMYFUNCTION("VALUE(REGEXEXTRACT(A36, ""Time ([0-9.]+)s""))"),1.7)</f>
        <v>1.7</v>
      </c>
      <c r="C36" s="2">
        <f>IFERROR(__xludf.DUMMYFUNCTION("VALUE(REGEXEXTRACT(A36, ""Contact Quotient: ([0-9.]+)""))"),0.35)</f>
        <v>0.35</v>
      </c>
    </row>
    <row r="37">
      <c r="A37" s="1" t="s">
        <v>38</v>
      </c>
      <c r="B37" s="2">
        <f>IFERROR(__xludf.DUMMYFUNCTION("VALUE(REGEXEXTRACT(A37, ""Time ([0-9.]+)s""))"),1.75)</f>
        <v>1.75</v>
      </c>
      <c r="C37" s="2">
        <f>IFERROR(__xludf.DUMMYFUNCTION("VALUE(REGEXEXTRACT(A37, ""Contact Quotient: ([0-9.]+)""))"),0.34)</f>
        <v>0.34</v>
      </c>
    </row>
    <row r="38">
      <c r="A38" s="1" t="s">
        <v>39</v>
      </c>
      <c r="B38" s="2">
        <f>IFERROR(__xludf.DUMMYFUNCTION("VALUE(REGEXEXTRACT(A38, ""Time ([0-9.]+)s""))"),1.8)</f>
        <v>1.8</v>
      </c>
      <c r="C38" s="2">
        <f>IFERROR(__xludf.DUMMYFUNCTION("VALUE(REGEXEXTRACT(A38, ""Contact Quotient: ([0-9.]+)""))"),0.35)</f>
        <v>0.35</v>
      </c>
    </row>
    <row r="39">
      <c r="A39" s="1" t="s">
        <v>40</v>
      </c>
      <c r="B39" s="2">
        <f>IFERROR(__xludf.DUMMYFUNCTION("VALUE(REGEXEXTRACT(A39, ""Time ([0-9.]+)s""))"),1.85)</f>
        <v>1.85</v>
      </c>
      <c r="C39" s="2">
        <f>IFERROR(__xludf.DUMMYFUNCTION("VALUE(REGEXEXTRACT(A39, ""Contact Quotient: ([0-9.]+)""))"),0.38)</f>
        <v>0.38</v>
      </c>
    </row>
    <row r="40">
      <c r="A40" s="1" t="s">
        <v>41</v>
      </c>
      <c r="B40" s="2">
        <f>IFERROR(__xludf.DUMMYFUNCTION("VALUE(REGEXEXTRACT(A40, ""Time ([0-9.]+)s""))"),1.9)</f>
        <v>1.9</v>
      </c>
      <c r="C40" s="2">
        <f>IFERROR(__xludf.DUMMYFUNCTION("VALUE(REGEXEXTRACT(A40, ""Contact Quotient: ([0-9.]+)""))"),0.38)</f>
        <v>0.38</v>
      </c>
    </row>
    <row r="41">
      <c r="A41" s="1" t="s">
        <v>42</v>
      </c>
      <c r="B41" s="2">
        <f>IFERROR(__xludf.DUMMYFUNCTION("VALUE(REGEXEXTRACT(A41, ""Time ([0-9.]+)s""))"),1.95)</f>
        <v>1.95</v>
      </c>
      <c r="C41" s="2">
        <f>IFERROR(__xludf.DUMMYFUNCTION("VALUE(REGEXEXTRACT(A41, ""Contact Quotient: ([0-9.]+)""))"),0.34)</f>
        <v>0.34</v>
      </c>
    </row>
    <row r="42">
      <c r="A42" s="1" t="s">
        <v>43</v>
      </c>
      <c r="B42" s="2">
        <f>IFERROR(__xludf.DUMMYFUNCTION("VALUE(REGEXEXTRACT(A42, ""Time ([0-9.]+)s""))"),2.0)</f>
        <v>2</v>
      </c>
      <c r="C42" s="2">
        <f>IFERROR(__xludf.DUMMYFUNCTION("VALUE(REGEXEXTRACT(A42, ""Contact Quotient: ([0-9.]+)""))"),0.32)</f>
        <v>0.32</v>
      </c>
    </row>
    <row r="43">
      <c r="A43" s="1" t="s">
        <v>44</v>
      </c>
      <c r="B43" s="2">
        <f>IFERROR(__xludf.DUMMYFUNCTION("VALUE(REGEXEXTRACT(A43, ""Time ([0-9.]+)s""))"),2.05)</f>
        <v>2.05</v>
      </c>
      <c r="C43" s="2">
        <f>IFERROR(__xludf.DUMMYFUNCTION("VALUE(REGEXEXTRACT(A43, ""Contact Quotient: ([0-9.]+)""))"),0.32)</f>
        <v>0.32</v>
      </c>
    </row>
    <row r="44">
      <c r="A44" s="1" t="s">
        <v>45</v>
      </c>
      <c r="B44" s="2">
        <f>IFERROR(__xludf.DUMMYFUNCTION("VALUE(REGEXEXTRACT(A44, ""Time ([0-9.]+)s""))"),2.1)</f>
        <v>2.1</v>
      </c>
      <c r="C44" s="2">
        <f>IFERROR(__xludf.DUMMYFUNCTION("VALUE(REGEXEXTRACT(A44, ""Contact Quotient: ([0-9.]+)""))"),0.35)</f>
        <v>0.35</v>
      </c>
    </row>
    <row r="45">
      <c r="A45" s="1" t="s">
        <v>46</v>
      </c>
      <c r="B45" s="2">
        <f>IFERROR(__xludf.DUMMYFUNCTION("VALUE(REGEXEXTRACT(A45, ""Time ([0-9.]+)s""))"),2.15)</f>
        <v>2.15</v>
      </c>
      <c r="C45" s="2">
        <f>IFERROR(__xludf.DUMMYFUNCTION("VALUE(REGEXEXTRACT(A45, ""Contact Quotient: ([0-9.]+)""))"),0.3)</f>
        <v>0.3</v>
      </c>
    </row>
    <row r="46">
      <c r="A46" s="1" t="s">
        <v>47</v>
      </c>
      <c r="B46" s="2">
        <f>IFERROR(__xludf.DUMMYFUNCTION("VALUE(REGEXEXTRACT(A46, ""Time ([0-9.]+)s""))"),2.2)</f>
        <v>2.2</v>
      </c>
      <c r="C46" s="2">
        <f>IFERROR(__xludf.DUMMYFUNCTION("VALUE(REGEXEXTRACT(A46, ""Contact Quotient: ([0-9.]+)""))"),0.31)</f>
        <v>0.31</v>
      </c>
    </row>
    <row r="47">
      <c r="A47" s="1" t="s">
        <v>48</v>
      </c>
      <c r="B47" s="2">
        <f>IFERROR(__xludf.DUMMYFUNCTION("VALUE(REGEXEXTRACT(A47, ""Time ([0-9.]+)s""))"),2.25)</f>
        <v>2.25</v>
      </c>
      <c r="C47" s="2">
        <f>IFERROR(__xludf.DUMMYFUNCTION("VALUE(REGEXEXTRACT(A47, ""Contact Quotient: ([0-9.]+)""))"),0.29)</f>
        <v>0.29</v>
      </c>
    </row>
    <row r="48">
      <c r="A48" s="1" t="s">
        <v>49</v>
      </c>
      <c r="B48" s="2">
        <f>IFERROR(__xludf.DUMMYFUNCTION("VALUE(REGEXEXTRACT(A48, ""Time ([0-9.]+)s""))"),2.3)</f>
        <v>2.3</v>
      </c>
      <c r="C48" s="2">
        <f>IFERROR(__xludf.DUMMYFUNCTION("VALUE(REGEXEXTRACT(A48, ""Contact Quotient: ([0-9.]+)""))"),0.28)</f>
        <v>0.28</v>
      </c>
    </row>
    <row r="49">
      <c r="A49" s="1" t="s">
        <v>50</v>
      </c>
      <c r="B49" s="2">
        <f>IFERROR(__xludf.DUMMYFUNCTION("VALUE(REGEXEXTRACT(A49, ""Time ([0-9.]+)s""))"),2.35)</f>
        <v>2.35</v>
      </c>
      <c r="C49" s="2">
        <f>IFERROR(__xludf.DUMMYFUNCTION("VALUE(REGEXEXTRACT(A49, ""Contact Quotient: ([0-9.]+)""))"),0.31)</f>
        <v>0.31</v>
      </c>
    </row>
    <row r="50">
      <c r="A50" s="1" t="s">
        <v>51</v>
      </c>
      <c r="B50" s="2">
        <f>IFERROR(__xludf.DUMMYFUNCTION("VALUE(REGEXEXTRACT(A50, ""Time ([0-9.]+)s""))"),2.4)</f>
        <v>2.4</v>
      </c>
      <c r="C50" s="2">
        <f>IFERROR(__xludf.DUMMYFUNCTION("VALUE(REGEXEXTRACT(A50, ""Contact Quotient: ([0-9.]+)""))"),0.32)</f>
        <v>0.32</v>
      </c>
    </row>
    <row r="51">
      <c r="A51" s="1" t="s">
        <v>52</v>
      </c>
      <c r="B51" s="2">
        <f>IFERROR(__xludf.DUMMYFUNCTION("VALUE(REGEXEXTRACT(A51, ""Time ([0-9.]+)s""))"),2.45)</f>
        <v>2.45</v>
      </c>
      <c r="C51" s="2">
        <f>IFERROR(__xludf.DUMMYFUNCTION("VALUE(REGEXEXTRACT(A51, ""Contact Quotient: ([0-9.]+)""))"),0.33)</f>
        <v>0.33</v>
      </c>
    </row>
    <row r="52">
      <c r="A52" s="1" t="s">
        <v>53</v>
      </c>
      <c r="B52" s="2">
        <f>IFERROR(__xludf.DUMMYFUNCTION("VALUE(REGEXEXTRACT(A52, ""Time ([0-9.]+)s""))"),2.5)</f>
        <v>2.5</v>
      </c>
      <c r="C52" s="2">
        <f>IFERROR(__xludf.DUMMYFUNCTION("VALUE(REGEXEXTRACT(A52, ""Contact Quotient: ([0-9.]+)""))"),0.27)</f>
        <v>0.27</v>
      </c>
    </row>
    <row r="53">
      <c r="A53" s="1" t="s">
        <v>54</v>
      </c>
      <c r="B53" s="2">
        <f>IFERROR(__xludf.DUMMYFUNCTION("VALUE(REGEXEXTRACT(A53, ""Time ([0-9.]+)s""))"),2.55)</f>
        <v>2.55</v>
      </c>
      <c r="C53" s="2">
        <f>IFERROR(__xludf.DUMMYFUNCTION("VALUE(REGEXEXTRACT(A53, ""Contact Quotient: ([0-9.]+)""))"),0.3)</f>
        <v>0.3</v>
      </c>
    </row>
    <row r="54">
      <c r="A54" s="1" t="s">
        <v>55</v>
      </c>
      <c r="B54" s="2">
        <f>IFERROR(__xludf.DUMMYFUNCTION("VALUE(REGEXEXTRACT(A54, ""Time ([0-9.]+)s""))"),2.6)</f>
        <v>2.6</v>
      </c>
      <c r="C54" s="2">
        <f>IFERROR(__xludf.DUMMYFUNCTION("VALUE(REGEXEXTRACT(A54, ""Contact Quotient: ([0-9.]+)""))"),0.31)</f>
        <v>0.31</v>
      </c>
    </row>
    <row r="55">
      <c r="A55" s="1" t="s">
        <v>56</v>
      </c>
      <c r="B55" s="2">
        <f>IFERROR(__xludf.DUMMYFUNCTION("VALUE(REGEXEXTRACT(A55, ""Time ([0-9.]+)s""))"),2.65)</f>
        <v>2.65</v>
      </c>
      <c r="C55" s="2">
        <f>IFERROR(__xludf.DUMMYFUNCTION("VALUE(REGEXEXTRACT(A55, ""Contact Quotient: ([0-9.]+)""))"),0.34)</f>
        <v>0.34</v>
      </c>
    </row>
    <row r="56">
      <c r="A56" s="1" t="s">
        <v>57</v>
      </c>
      <c r="B56" s="2">
        <f>IFERROR(__xludf.DUMMYFUNCTION("VALUE(REGEXEXTRACT(A56, ""Time ([0-9.]+)s""))"),2.7)</f>
        <v>2.7</v>
      </c>
      <c r="C56" s="2">
        <f>IFERROR(__xludf.DUMMYFUNCTION("VALUE(REGEXEXTRACT(A56, ""Contact Quotient: ([0-9.]+)""))"),0.38)</f>
        <v>0.38</v>
      </c>
    </row>
    <row r="57">
      <c r="A57" s="1" t="s">
        <v>58</v>
      </c>
      <c r="B57" s="2">
        <f>IFERROR(__xludf.DUMMYFUNCTION("VALUE(REGEXEXTRACT(A57, ""Time ([0-9.]+)s""))"),2.75)</f>
        <v>2.75</v>
      </c>
      <c r="C57" s="2">
        <f>IFERROR(__xludf.DUMMYFUNCTION("VALUE(REGEXEXTRACT(A57, ""Contact Quotient: ([0-9.]+)""))"),0.39)</f>
        <v>0.39</v>
      </c>
    </row>
    <row r="58">
      <c r="A58" s="1" t="s">
        <v>59</v>
      </c>
      <c r="B58" s="2">
        <f>IFERROR(__xludf.DUMMYFUNCTION("VALUE(REGEXEXTRACT(A58, ""Time ([0-9.]+)s""))"),2.8)</f>
        <v>2.8</v>
      </c>
      <c r="C58" s="2">
        <f>IFERROR(__xludf.DUMMYFUNCTION("VALUE(REGEXEXTRACT(A58, ""Contact Quotient: ([0-9.]+)""))"),0.33)</f>
        <v>0.33</v>
      </c>
    </row>
    <row r="59">
      <c r="A59" s="1" t="s">
        <v>60</v>
      </c>
      <c r="B59" s="2">
        <f>IFERROR(__xludf.DUMMYFUNCTION("VALUE(REGEXEXTRACT(A59, ""Time ([0-9.]+)s""))"),2.85)</f>
        <v>2.85</v>
      </c>
      <c r="C59" s="2">
        <f>IFERROR(__xludf.DUMMYFUNCTION("VALUE(REGEXEXTRACT(A59, ""Contact Quotient: ([0-9.]+)""))"),0.32)</f>
        <v>0.32</v>
      </c>
    </row>
    <row r="60">
      <c r="A60" s="1" t="s">
        <v>61</v>
      </c>
      <c r="B60" s="2">
        <f>IFERROR(__xludf.DUMMYFUNCTION("VALUE(REGEXEXTRACT(A60, ""Time ([0-9.]+)s""))"),2.9)</f>
        <v>2.9</v>
      </c>
      <c r="C60" s="2">
        <f>IFERROR(__xludf.DUMMYFUNCTION("VALUE(REGEXEXTRACT(A60, ""Contact Quotient: ([0-9.]+)""))"),0.29)</f>
        <v>0.29</v>
      </c>
    </row>
    <row r="61">
      <c r="A61" s="1" t="s">
        <v>62</v>
      </c>
      <c r="B61" s="2">
        <f>IFERROR(__xludf.DUMMYFUNCTION("VALUE(REGEXEXTRACT(A61, ""Time ([0-9.]+)s""))"),2.95)</f>
        <v>2.95</v>
      </c>
      <c r="C61" s="2">
        <f>IFERROR(__xludf.DUMMYFUNCTION("VALUE(REGEXEXTRACT(A61, ""Contact Quotient: ([0-9.]+)""))"),0.31)</f>
        <v>0.31</v>
      </c>
    </row>
    <row r="62">
      <c r="A62" s="1" t="s">
        <v>63</v>
      </c>
      <c r="B62" s="2">
        <f>IFERROR(__xludf.DUMMYFUNCTION("VALUE(REGEXEXTRACT(A62, ""Time ([0-9.]+)s""))"),3.0)</f>
        <v>3</v>
      </c>
      <c r="C62" s="2">
        <f>IFERROR(__xludf.DUMMYFUNCTION("VALUE(REGEXEXTRACT(A62, ""Contact Quotient: ([0-9.]+)""))"),0.34)</f>
        <v>0.34</v>
      </c>
    </row>
    <row r="63">
      <c r="A63" s="1" t="s">
        <v>64</v>
      </c>
      <c r="B63" s="2">
        <f>IFERROR(__xludf.DUMMYFUNCTION("VALUE(REGEXEXTRACT(A63, ""Time ([0-9.]+)s""))"),3.05)</f>
        <v>3.05</v>
      </c>
      <c r="C63" s="2">
        <f>IFERROR(__xludf.DUMMYFUNCTION("VALUE(REGEXEXTRACT(A63, ""Contact Quotient: ([0-9.]+)""))"),0.29)</f>
        <v>0.29</v>
      </c>
    </row>
    <row r="64">
      <c r="A64" s="1" t="s">
        <v>65</v>
      </c>
      <c r="B64" s="2">
        <f>IFERROR(__xludf.DUMMYFUNCTION("VALUE(REGEXEXTRACT(A64, ""Time ([0-9.]+)s""))"),3.1)</f>
        <v>3.1</v>
      </c>
      <c r="C64" s="2">
        <f>IFERROR(__xludf.DUMMYFUNCTION("VALUE(REGEXEXTRACT(A64, ""Contact Quotient: ([0-9.]+)""))"),0.24)</f>
        <v>0.24</v>
      </c>
    </row>
    <row r="65">
      <c r="A65" s="1" t="s">
        <v>66</v>
      </c>
      <c r="B65" s="2">
        <f>IFERROR(__xludf.DUMMYFUNCTION("VALUE(REGEXEXTRACT(A65, ""Time ([0-9.]+)s""))"),3.15)</f>
        <v>3.15</v>
      </c>
      <c r="C65" s="2">
        <f>IFERROR(__xludf.DUMMYFUNCTION("VALUE(REGEXEXTRACT(A65, ""Contact Quotient: ([0-9.]+)""))"),0.24)</f>
        <v>0.24</v>
      </c>
    </row>
    <row r="66">
      <c r="A66" s="1" t="s">
        <v>67</v>
      </c>
      <c r="B66" s="2">
        <f>IFERROR(__xludf.DUMMYFUNCTION("VALUE(REGEXEXTRACT(A66, ""Time ([0-9.]+)s""))"),3.2)</f>
        <v>3.2</v>
      </c>
      <c r="C66" s="2">
        <f>IFERROR(__xludf.DUMMYFUNCTION("VALUE(REGEXEXTRACT(A66, ""Contact Quotient: ([0-9.]+)""))"),0.23)</f>
        <v>0.23</v>
      </c>
    </row>
    <row r="67">
      <c r="A67" s="1" t="s">
        <v>68</v>
      </c>
      <c r="B67" s="2">
        <f>IFERROR(__xludf.DUMMYFUNCTION("VALUE(REGEXEXTRACT(A67, ""Time ([0-9.]+)s""))"),3.25)</f>
        <v>3.25</v>
      </c>
      <c r="C67" s="2">
        <f>IFERROR(__xludf.DUMMYFUNCTION("VALUE(REGEXEXTRACT(A67, ""Contact Quotient: ([0-9.]+)""))"),0.23)</f>
        <v>0.23</v>
      </c>
    </row>
    <row r="68">
      <c r="A68" s="1" t="s">
        <v>69</v>
      </c>
      <c r="B68" s="2">
        <f>IFERROR(__xludf.DUMMYFUNCTION("VALUE(REGEXEXTRACT(A68, ""Time ([0-9.]+)s""))"),3.3)</f>
        <v>3.3</v>
      </c>
      <c r="C68" s="2">
        <f>IFERROR(__xludf.DUMMYFUNCTION("VALUE(REGEXEXTRACT(A68, ""Contact Quotient: ([0-9.]+)""))"),0.27)</f>
        <v>0.27</v>
      </c>
    </row>
    <row r="69">
      <c r="A69" s="1" t="s">
        <v>70</v>
      </c>
      <c r="B69" s="2">
        <f>IFERROR(__xludf.DUMMYFUNCTION("VALUE(REGEXEXTRACT(A69, ""Time ([0-9.]+)s""))"),3.35)</f>
        <v>3.35</v>
      </c>
      <c r="C69" s="2">
        <f>IFERROR(__xludf.DUMMYFUNCTION("VALUE(REGEXEXTRACT(A69, ""Contact Quotient: ([0-9.]+)""))"),0.27)</f>
        <v>0.27</v>
      </c>
    </row>
    <row r="70">
      <c r="A70" s="1" t="s">
        <v>71</v>
      </c>
      <c r="B70" s="2">
        <f>IFERROR(__xludf.DUMMYFUNCTION("VALUE(REGEXEXTRACT(A70, ""Time ([0-9.]+)s""))"),3.4)</f>
        <v>3.4</v>
      </c>
      <c r="C70" s="2">
        <f>IFERROR(__xludf.DUMMYFUNCTION("VALUE(REGEXEXTRACT(A70, ""Contact Quotient: ([0-9.]+)""))"),0.27)</f>
        <v>0.27</v>
      </c>
    </row>
    <row r="71">
      <c r="A71" s="1" t="s">
        <v>72</v>
      </c>
      <c r="B71" s="2">
        <f>IFERROR(__xludf.DUMMYFUNCTION("VALUE(REGEXEXTRACT(A71, ""Time ([0-9.]+)s""))"),3.45)</f>
        <v>3.45</v>
      </c>
      <c r="C71" s="2">
        <f>IFERROR(__xludf.DUMMYFUNCTION("VALUE(REGEXEXTRACT(A71, ""Contact Quotient: ([0-9.]+)""))"),0.26)</f>
        <v>0.26</v>
      </c>
    </row>
    <row r="72">
      <c r="A72" s="1" t="s">
        <v>73</v>
      </c>
      <c r="B72" s="2">
        <f>IFERROR(__xludf.DUMMYFUNCTION("VALUE(REGEXEXTRACT(A72, ""Time ([0-9.]+)s""))"),3.5)</f>
        <v>3.5</v>
      </c>
      <c r="C72" s="2">
        <f>IFERROR(__xludf.DUMMYFUNCTION("VALUE(REGEXEXTRACT(A72, ""Contact Quotient: ([0-9.]+)""))"),0.28)</f>
        <v>0.28</v>
      </c>
    </row>
    <row r="73">
      <c r="A73" s="1" t="s">
        <v>74</v>
      </c>
      <c r="B73" s="2">
        <f>IFERROR(__xludf.DUMMYFUNCTION("VALUE(REGEXEXTRACT(A73, ""Time ([0-9.]+)s""))"),3.55)</f>
        <v>3.55</v>
      </c>
      <c r="C73" s="2">
        <f>IFERROR(__xludf.DUMMYFUNCTION("VALUE(REGEXEXTRACT(A73, ""Contact Quotient: ([0-9.]+)""))"),0.35)</f>
        <v>0.35</v>
      </c>
    </row>
    <row r="74">
      <c r="A74" s="1" t="s">
        <v>75</v>
      </c>
      <c r="B74" s="2">
        <f>IFERROR(__xludf.DUMMYFUNCTION("VALUE(REGEXEXTRACT(A74, ""Time ([0-9.]+)s""))"),3.6)</f>
        <v>3.6</v>
      </c>
      <c r="C74" s="2">
        <f>IFERROR(__xludf.DUMMYFUNCTION("VALUE(REGEXEXTRACT(A74, ""Contact Quotient: ([0-9.]+)""))"),0.37)</f>
        <v>0.37</v>
      </c>
    </row>
    <row r="75">
      <c r="A75" s="1" t="s">
        <v>76</v>
      </c>
      <c r="B75" s="2">
        <f>IFERROR(__xludf.DUMMYFUNCTION("VALUE(REGEXEXTRACT(A75, ""Time ([0-9.]+)s""))"),3.65)</f>
        <v>3.65</v>
      </c>
      <c r="C75" s="2">
        <f>IFERROR(__xludf.DUMMYFUNCTION("VALUE(REGEXEXTRACT(A75, ""Contact Quotient: ([0-9.]+)""))"),0.32)</f>
        <v>0.32</v>
      </c>
    </row>
    <row r="76">
      <c r="A76" s="1" t="s">
        <v>77</v>
      </c>
      <c r="B76" s="2">
        <f>IFERROR(__xludf.DUMMYFUNCTION("VALUE(REGEXEXTRACT(A76, ""Time ([0-9.]+)s""))"),3.7)</f>
        <v>3.7</v>
      </c>
      <c r="C76" s="2">
        <f>IFERROR(__xludf.DUMMYFUNCTION("VALUE(REGEXEXTRACT(A76, ""Contact Quotient: ([0-9.]+)""))"),0.29)</f>
        <v>0.29</v>
      </c>
    </row>
    <row r="77">
      <c r="A77" s="1" t="s">
        <v>78</v>
      </c>
      <c r="B77" s="2">
        <f>IFERROR(__xludf.DUMMYFUNCTION("VALUE(REGEXEXTRACT(A77, ""Time ([0-9.]+)s""))"),3.75)</f>
        <v>3.75</v>
      </c>
      <c r="C77" s="2">
        <f>IFERROR(__xludf.DUMMYFUNCTION("VALUE(REGEXEXTRACT(A77, ""Contact Quotient: ([0-9.]+)""))"),0.27)</f>
        <v>0.27</v>
      </c>
    </row>
    <row r="78">
      <c r="A78" s="1" t="s">
        <v>79</v>
      </c>
      <c r="B78" s="2">
        <f>IFERROR(__xludf.DUMMYFUNCTION("VALUE(REGEXEXTRACT(A78, ""Time ([0-9.]+)s""))"),3.8)</f>
        <v>3.8</v>
      </c>
      <c r="C78" s="2">
        <f>IFERROR(__xludf.DUMMYFUNCTION("VALUE(REGEXEXTRACT(A78, ""Contact Quotient: ([0-9.]+)""))"),0.27)</f>
        <v>0.27</v>
      </c>
    </row>
    <row r="79">
      <c r="A79" s="1" t="s">
        <v>80</v>
      </c>
      <c r="B79" s="2">
        <f>IFERROR(__xludf.DUMMYFUNCTION("VALUE(REGEXEXTRACT(A79, ""Time ([0-9.]+)s""))"),3.85)</f>
        <v>3.85</v>
      </c>
      <c r="C79" s="2">
        <f>IFERROR(__xludf.DUMMYFUNCTION("VALUE(REGEXEXTRACT(A79, ""Contact Quotient: ([0-9.]+)""))"),0.29)</f>
        <v>0.29</v>
      </c>
    </row>
    <row r="80">
      <c r="A80" s="1" t="s">
        <v>81</v>
      </c>
      <c r="B80" s="2">
        <f>IFERROR(__xludf.DUMMYFUNCTION("VALUE(REGEXEXTRACT(A80, ""Time ([0-9.]+)s""))"),3.9)</f>
        <v>3.9</v>
      </c>
      <c r="C80" s="2">
        <f>IFERROR(__xludf.DUMMYFUNCTION("VALUE(REGEXEXTRACT(A80, ""Contact Quotient: ([0-9.]+)""))"),0.32)</f>
        <v>0.32</v>
      </c>
    </row>
    <row r="81">
      <c r="A81" s="1" t="s">
        <v>82</v>
      </c>
      <c r="B81" s="2">
        <f>IFERROR(__xludf.DUMMYFUNCTION("VALUE(REGEXEXTRACT(A81, ""Time ([0-9.]+)s""))"),3.95)</f>
        <v>3.95</v>
      </c>
      <c r="C81" s="2">
        <f>IFERROR(__xludf.DUMMYFUNCTION("VALUE(REGEXEXTRACT(A81, ""Contact Quotient: ([0-9.]+)""))"),0.31)</f>
        <v>0.31</v>
      </c>
    </row>
    <row r="82">
      <c r="A82" s="1" t="s">
        <v>83</v>
      </c>
      <c r="B82" s="2">
        <f>IFERROR(__xludf.DUMMYFUNCTION("VALUE(REGEXEXTRACT(A82, ""Time ([0-9.]+)s""))"),4.0)</f>
        <v>4</v>
      </c>
      <c r="C82" s="2">
        <f>IFERROR(__xludf.DUMMYFUNCTION("VALUE(REGEXEXTRACT(A82, ""Contact Quotient: ([0-9.]+)""))"),0.27)</f>
        <v>0.27</v>
      </c>
    </row>
    <row r="83">
      <c r="A83" s="1" t="s">
        <v>84</v>
      </c>
      <c r="B83" s="2">
        <f>IFERROR(__xludf.DUMMYFUNCTION("VALUE(REGEXEXTRACT(A83, ""Time ([0-9.]+)s""))"),4.05)</f>
        <v>4.05</v>
      </c>
      <c r="C83" s="2">
        <f>IFERROR(__xludf.DUMMYFUNCTION("VALUE(REGEXEXTRACT(A83, ""Contact Quotient: ([0-9.]+)""))"),0.26)</f>
        <v>0.26</v>
      </c>
    </row>
    <row r="84">
      <c r="A84" s="1" t="s">
        <v>85</v>
      </c>
      <c r="B84" s="2">
        <f>IFERROR(__xludf.DUMMYFUNCTION("VALUE(REGEXEXTRACT(A84, ""Time ([0-9.]+)s""))"),4.1)</f>
        <v>4.1</v>
      </c>
      <c r="C84" s="2">
        <f>IFERROR(__xludf.DUMMYFUNCTION("VALUE(REGEXEXTRACT(A84, ""Contact Quotient: ([0-9.]+)""))"),0.27)</f>
        <v>0.27</v>
      </c>
    </row>
    <row r="85">
      <c r="A85" s="1" t="s">
        <v>86</v>
      </c>
      <c r="B85" s="2">
        <f>IFERROR(__xludf.DUMMYFUNCTION("VALUE(REGEXEXTRACT(A85, ""Time ([0-9.]+)s""))"),4.15)</f>
        <v>4.15</v>
      </c>
      <c r="C85" s="2">
        <f>IFERROR(__xludf.DUMMYFUNCTION("VALUE(REGEXEXTRACT(A85, ""Contact Quotient: ([0-9.]+)""))"),0.3)</f>
        <v>0.3</v>
      </c>
    </row>
    <row r="86">
      <c r="A86" s="1" t="s">
        <v>87</v>
      </c>
      <c r="B86" s="2">
        <f>IFERROR(__xludf.DUMMYFUNCTION("VALUE(REGEXEXTRACT(A86, ""Time ([0-9.]+)s""))"),4.2)</f>
        <v>4.2</v>
      </c>
      <c r="C86" s="2">
        <f>IFERROR(__xludf.DUMMYFUNCTION("VALUE(REGEXEXTRACT(A86, ""Contact Quotient: ([0-9.]+)""))"),0.31)</f>
        <v>0.31</v>
      </c>
    </row>
    <row r="87">
      <c r="A87" s="1" t="s">
        <v>88</v>
      </c>
      <c r="B87" s="2">
        <f>IFERROR(__xludf.DUMMYFUNCTION("VALUE(REGEXEXTRACT(A87, ""Time ([0-9.]+)s""))"),4.25)</f>
        <v>4.25</v>
      </c>
      <c r="C87" s="2">
        <f>IFERROR(__xludf.DUMMYFUNCTION("VALUE(REGEXEXTRACT(A87, ""Contact Quotient: ([0-9.]+)""))"),0.29)</f>
        <v>0.29</v>
      </c>
    </row>
    <row r="88">
      <c r="A88" s="1" t="s">
        <v>89</v>
      </c>
      <c r="B88" s="2">
        <f>IFERROR(__xludf.DUMMYFUNCTION("VALUE(REGEXEXTRACT(A88, ""Time ([0-9.]+)s""))"),4.3)</f>
        <v>4.3</v>
      </c>
      <c r="C88" s="2">
        <f>IFERROR(__xludf.DUMMYFUNCTION("VALUE(REGEXEXTRACT(A88, ""Contact Quotient: ([0-9.]+)""))"),0.29)</f>
        <v>0.29</v>
      </c>
    </row>
    <row r="89">
      <c r="A89" s="1" t="s">
        <v>90</v>
      </c>
      <c r="B89" s="2">
        <f>IFERROR(__xludf.DUMMYFUNCTION("VALUE(REGEXEXTRACT(A89, ""Time ([0-9.]+)s""))"),4.35)</f>
        <v>4.35</v>
      </c>
      <c r="C89" s="2">
        <f>IFERROR(__xludf.DUMMYFUNCTION("VALUE(REGEXEXTRACT(A89, ""Contact Quotient: ([0-9.]+)""))"),0.28)</f>
        <v>0.28</v>
      </c>
    </row>
    <row r="90">
      <c r="A90" s="1" t="s">
        <v>91</v>
      </c>
      <c r="B90" s="2">
        <f>IFERROR(__xludf.DUMMYFUNCTION("VALUE(REGEXEXTRACT(A90, ""Time ([0-9.]+)s""))"),4.4)</f>
        <v>4.4</v>
      </c>
      <c r="C90" s="2">
        <f>IFERROR(__xludf.DUMMYFUNCTION("VALUE(REGEXEXTRACT(A90, ""Contact Quotient: ([0-9.]+)""))"),0.28)</f>
        <v>0.28</v>
      </c>
    </row>
    <row r="91">
      <c r="A91" s="1" t="s">
        <v>92</v>
      </c>
      <c r="B91" s="2">
        <f>IFERROR(__xludf.DUMMYFUNCTION("VALUE(REGEXEXTRACT(A91, ""Time ([0-9.]+)s""))"),4.45)</f>
        <v>4.45</v>
      </c>
      <c r="C91" s="2">
        <f>IFERROR(__xludf.DUMMYFUNCTION("VALUE(REGEXEXTRACT(A91, ""Contact Quotient: ([0-9.]+)""))"),0.28)</f>
        <v>0.28</v>
      </c>
    </row>
    <row r="92">
      <c r="A92" s="1" t="s">
        <v>93</v>
      </c>
      <c r="B92" s="2">
        <f>IFERROR(__xludf.DUMMYFUNCTION("VALUE(REGEXEXTRACT(A92, ""Time ([0-9.]+)s""))"),4.5)</f>
        <v>4.5</v>
      </c>
      <c r="C92" s="2">
        <f>IFERROR(__xludf.DUMMYFUNCTION("VALUE(REGEXEXTRACT(A92, ""Contact Quotient: ([0-9.]+)""))"),0.3)</f>
        <v>0.3</v>
      </c>
    </row>
    <row r="93">
      <c r="A93" s="1" t="s">
        <v>94</v>
      </c>
      <c r="B93" s="2">
        <f>IFERROR(__xludf.DUMMYFUNCTION("VALUE(REGEXEXTRACT(A93, ""Time ([0-9.]+)s""))"),4.55)</f>
        <v>4.55</v>
      </c>
      <c r="C93" s="2">
        <f>IFERROR(__xludf.DUMMYFUNCTION("VALUE(REGEXEXTRACT(A93, ""Contact Quotient: ([0-9.]+)""))"),0.33)</f>
        <v>0.33</v>
      </c>
    </row>
    <row r="94">
      <c r="A94" s="1" t="s">
        <v>95</v>
      </c>
      <c r="B94" s="2">
        <f>IFERROR(__xludf.DUMMYFUNCTION("VALUE(REGEXEXTRACT(A94, ""Time ([0-9.]+)s""))"),4.6)</f>
        <v>4.6</v>
      </c>
      <c r="C94" s="2">
        <f>IFERROR(__xludf.DUMMYFUNCTION("VALUE(REGEXEXTRACT(A94, ""Contact Quotient: ([0-9.]+)""))"),0.33)</f>
        <v>0.33</v>
      </c>
    </row>
    <row r="95">
      <c r="A95" s="1" t="s">
        <v>96</v>
      </c>
      <c r="B95" s="2">
        <f>IFERROR(__xludf.DUMMYFUNCTION("VALUE(REGEXEXTRACT(A95, ""Time ([0-9.]+)s""))"),4.65)</f>
        <v>4.65</v>
      </c>
      <c r="C95" s="2">
        <f>IFERROR(__xludf.DUMMYFUNCTION("VALUE(REGEXEXTRACT(A95, ""Contact Quotient: ([0-9.]+)""))"),0.29)</f>
        <v>0.29</v>
      </c>
    </row>
    <row r="96">
      <c r="A96" s="1" t="s">
        <v>97</v>
      </c>
      <c r="B96" s="2">
        <f>IFERROR(__xludf.DUMMYFUNCTION("VALUE(REGEXEXTRACT(A96, ""Time ([0-9.]+)s""))"),4.7)</f>
        <v>4.7</v>
      </c>
      <c r="C96" s="2">
        <f>IFERROR(__xludf.DUMMYFUNCTION("VALUE(REGEXEXTRACT(A96, ""Contact Quotient: ([0-9.]+)""))"),0.29)</f>
        <v>0.29</v>
      </c>
    </row>
    <row r="97">
      <c r="A97" s="1" t="s">
        <v>98</v>
      </c>
      <c r="B97" s="2">
        <f>IFERROR(__xludf.DUMMYFUNCTION("VALUE(REGEXEXTRACT(A97, ""Time ([0-9.]+)s""))"),4.75)</f>
        <v>4.75</v>
      </c>
      <c r="C97" s="2">
        <f>IFERROR(__xludf.DUMMYFUNCTION("VALUE(REGEXEXTRACT(A97, ""Contact Quotient: ([0-9.]+)""))"),0.29)</f>
        <v>0.29</v>
      </c>
    </row>
    <row r="98">
      <c r="A98" s="1" t="s">
        <v>99</v>
      </c>
      <c r="B98" s="2">
        <f>IFERROR(__xludf.DUMMYFUNCTION("VALUE(REGEXEXTRACT(A98, ""Time ([0-9.]+)s""))"),4.8)</f>
        <v>4.8</v>
      </c>
      <c r="C98" s="2">
        <f>IFERROR(__xludf.DUMMYFUNCTION("VALUE(REGEXEXTRACT(A98, ""Contact Quotient: ([0-9.]+)""))"),0.29)</f>
        <v>0.29</v>
      </c>
    </row>
    <row r="99">
      <c r="A99" s="1" t="s">
        <v>100</v>
      </c>
      <c r="B99" s="2">
        <f>IFERROR(__xludf.DUMMYFUNCTION("VALUE(REGEXEXTRACT(A99, ""Time ([0-9.]+)s""))"),4.85)</f>
        <v>4.85</v>
      </c>
      <c r="C99" s="2">
        <f>IFERROR(__xludf.DUMMYFUNCTION("VALUE(REGEXEXTRACT(A99, ""Contact Quotient: ([0-9.]+)""))"),0.33)</f>
        <v>0.33</v>
      </c>
    </row>
    <row r="100">
      <c r="A100" s="1" t="s">
        <v>101</v>
      </c>
      <c r="B100" s="2">
        <f>IFERROR(__xludf.DUMMYFUNCTION("VALUE(REGEXEXTRACT(A100, ""Time ([0-9.]+)s""))"),4.9)</f>
        <v>4.9</v>
      </c>
      <c r="C100" s="2">
        <f>IFERROR(__xludf.DUMMYFUNCTION("VALUE(REGEXEXTRACT(A100, ""Contact Quotient: ([0-9.]+)""))"),0.27)</f>
        <v>0.27</v>
      </c>
    </row>
    <row r="101">
      <c r="A101" s="1" t="s">
        <v>102</v>
      </c>
      <c r="B101" s="2">
        <f>IFERROR(__xludf.DUMMYFUNCTION("VALUE(REGEXEXTRACT(A101, ""Time ([0-9.]+)s""))"),4.95)</f>
        <v>4.95</v>
      </c>
      <c r="C101" s="2">
        <f>IFERROR(__xludf.DUMMYFUNCTION("VALUE(REGEXEXTRACT(A101, ""Contact Quotient: ([0-9.]+)""))"),0.27)</f>
        <v>0.27</v>
      </c>
    </row>
    <row r="102">
      <c r="A102" s="1" t="s">
        <v>103</v>
      </c>
      <c r="B102" s="2">
        <f>IFERROR(__xludf.DUMMYFUNCTION("VALUE(REGEXEXTRACT(A102, ""Time ([0-9.]+)s""))"),5.0)</f>
        <v>5</v>
      </c>
      <c r="C102" s="2">
        <f>IFERROR(__xludf.DUMMYFUNCTION("VALUE(REGEXEXTRACT(A102, ""Contact Quotient: ([0-9.]+)""))"),0.27)</f>
        <v>0.27</v>
      </c>
    </row>
    <row r="103">
      <c r="A103" s="1" t="s">
        <v>104</v>
      </c>
      <c r="B103" s="2">
        <f>IFERROR(__xludf.DUMMYFUNCTION("VALUE(REGEXEXTRACT(A103, ""Time ([0-9.]+)s""))"),5.05)</f>
        <v>5.05</v>
      </c>
      <c r="C103" s="2">
        <f>IFERROR(__xludf.DUMMYFUNCTION("VALUE(REGEXEXTRACT(A103, ""Contact Quotient: ([0-9.]+)""))"),0.28)</f>
        <v>0.28</v>
      </c>
    </row>
    <row r="104">
      <c r="A104" s="1" t="s">
        <v>105</v>
      </c>
      <c r="B104" s="2">
        <f>IFERROR(__xludf.DUMMYFUNCTION("VALUE(REGEXEXTRACT(A104, ""Time ([0-9.]+)s""))"),5.1)</f>
        <v>5.1</v>
      </c>
      <c r="C104" s="2">
        <f>IFERROR(__xludf.DUMMYFUNCTION("VALUE(REGEXEXTRACT(A104, ""Contact Quotient: ([0-9.]+)""))"),0.28)</f>
        <v>0.28</v>
      </c>
    </row>
    <row r="105">
      <c r="A105" s="1" t="s">
        <v>106</v>
      </c>
      <c r="B105" s="2">
        <f>IFERROR(__xludf.DUMMYFUNCTION("VALUE(REGEXEXTRACT(A105, ""Time ([0-9.]+)s""))"),5.15)</f>
        <v>5.15</v>
      </c>
      <c r="C105" s="2">
        <f>IFERROR(__xludf.DUMMYFUNCTION("VALUE(REGEXEXTRACT(A105, ""Contact Quotient: ([0-9.]+)""))"),0.28)</f>
        <v>0.28</v>
      </c>
    </row>
    <row r="106">
      <c r="A106" s="1" t="s">
        <v>107</v>
      </c>
      <c r="B106" s="2">
        <f>IFERROR(__xludf.DUMMYFUNCTION("VALUE(REGEXEXTRACT(A106, ""Time ([0-9.]+)s""))"),5.2)</f>
        <v>5.2</v>
      </c>
      <c r="C106" s="2">
        <f>IFERROR(__xludf.DUMMYFUNCTION("VALUE(REGEXEXTRACT(A106, ""Contact Quotient: ([0-9.]+)""))"),0.28)</f>
        <v>0.28</v>
      </c>
    </row>
    <row r="107">
      <c r="A107" s="1" t="s">
        <v>108</v>
      </c>
      <c r="B107" s="2">
        <f>IFERROR(__xludf.DUMMYFUNCTION("VALUE(REGEXEXTRACT(A107, ""Time ([0-9.]+)s""))"),5.25)</f>
        <v>5.25</v>
      </c>
      <c r="C107" s="2">
        <f>IFERROR(__xludf.DUMMYFUNCTION("VALUE(REGEXEXTRACT(A107, ""Contact Quotient: ([0-9.]+)""))"),0.28)</f>
        <v>0.28</v>
      </c>
    </row>
    <row r="108">
      <c r="A108" s="1" t="s">
        <v>109</v>
      </c>
      <c r="B108" s="2">
        <f>IFERROR(__xludf.DUMMYFUNCTION("VALUE(REGEXEXTRACT(A108, ""Time ([0-9.]+)s""))"),5.3)</f>
        <v>5.3</v>
      </c>
      <c r="C108" s="2">
        <f>IFERROR(__xludf.DUMMYFUNCTION("VALUE(REGEXEXTRACT(A108, ""Contact Quotient: ([0-9.]+)""))"),0.28)</f>
        <v>0.28</v>
      </c>
    </row>
    <row r="109">
      <c r="A109" s="1" t="s">
        <v>110</v>
      </c>
      <c r="B109" s="2">
        <f>IFERROR(__xludf.DUMMYFUNCTION("VALUE(REGEXEXTRACT(A109, ""Time ([0-9.]+)s""))"),5.35)</f>
        <v>5.35</v>
      </c>
      <c r="C109" s="2">
        <f>IFERROR(__xludf.DUMMYFUNCTION("VALUE(REGEXEXTRACT(A109, ""Contact Quotient: ([0-9.]+)""))"),0.28)</f>
        <v>0.28</v>
      </c>
    </row>
    <row r="110">
      <c r="A110" s="1" t="s">
        <v>111</v>
      </c>
      <c r="B110" s="2">
        <f>IFERROR(__xludf.DUMMYFUNCTION("VALUE(REGEXEXTRACT(A110, ""Time ([0-9.]+)s""))"),5.4)</f>
        <v>5.4</v>
      </c>
      <c r="C110" s="2">
        <f>IFERROR(__xludf.DUMMYFUNCTION("VALUE(REGEXEXTRACT(A110, ""Contact Quotient: ([0-9.]+)""))"),0.28)</f>
        <v>0.28</v>
      </c>
    </row>
    <row r="111">
      <c r="A111" s="1" t="s">
        <v>112</v>
      </c>
      <c r="B111" s="2">
        <f>IFERROR(__xludf.DUMMYFUNCTION("VALUE(REGEXEXTRACT(A111, ""Time ([0-9.]+)s""))"),5.45)</f>
        <v>5.45</v>
      </c>
      <c r="C111" s="2">
        <f>IFERROR(__xludf.DUMMYFUNCTION("VALUE(REGEXEXTRACT(A111, ""Contact Quotient: ([0-9.]+)""))"),0.28)</f>
        <v>0.28</v>
      </c>
    </row>
    <row r="112">
      <c r="A112" s="1" t="s">
        <v>113</v>
      </c>
      <c r="B112" s="2">
        <f>IFERROR(__xludf.DUMMYFUNCTION("VALUE(REGEXEXTRACT(A112, ""Time ([0-9.]+)s""))"),5.5)</f>
        <v>5.5</v>
      </c>
      <c r="C112" s="2">
        <f>IFERROR(__xludf.DUMMYFUNCTION("VALUE(REGEXEXTRACT(A112, ""Contact Quotient: ([0-9.]+)""))"),0.28)</f>
        <v>0.28</v>
      </c>
    </row>
    <row r="113">
      <c r="A113" s="1" t="s">
        <v>114</v>
      </c>
      <c r="B113" s="2">
        <f>IFERROR(__xludf.DUMMYFUNCTION("VALUE(REGEXEXTRACT(A113, ""Time ([0-9.]+)s""))"),5.55)</f>
        <v>5.55</v>
      </c>
      <c r="C113" s="2">
        <f>IFERROR(__xludf.DUMMYFUNCTION("VALUE(REGEXEXTRACT(A113, ""Contact Quotient: ([0-9.]+)""))"),0.28)</f>
        <v>0.28</v>
      </c>
    </row>
    <row r="114">
      <c r="A114" s="1" t="s">
        <v>115</v>
      </c>
      <c r="B114" s="2">
        <f>IFERROR(__xludf.DUMMYFUNCTION("VALUE(REGEXEXTRACT(A114, ""Time ([0-9.]+)s""))"),5.6)</f>
        <v>5.6</v>
      </c>
      <c r="C114" s="2">
        <f>IFERROR(__xludf.DUMMYFUNCTION("VALUE(REGEXEXTRACT(A114, ""Contact Quotient: ([0-9.]+)""))"),0.28)</f>
        <v>0.28</v>
      </c>
    </row>
    <row r="115">
      <c r="A115" s="1" t="s">
        <v>116</v>
      </c>
      <c r="B115" s="2">
        <f>IFERROR(__xludf.DUMMYFUNCTION("VALUE(REGEXEXTRACT(A115, ""Time ([0-9.]+)s""))"),5.65)</f>
        <v>5.65</v>
      </c>
      <c r="C115" s="2">
        <f>IFERROR(__xludf.DUMMYFUNCTION("VALUE(REGEXEXTRACT(A115, ""Contact Quotient: ([0-9.]+)""))"),0.28)</f>
        <v>0.28</v>
      </c>
    </row>
    <row r="116">
      <c r="A116" s="1" t="s">
        <v>117</v>
      </c>
      <c r="B116" s="2">
        <f>IFERROR(__xludf.DUMMYFUNCTION("VALUE(REGEXEXTRACT(A116, ""Time ([0-9.]+)s""))"),5.7)</f>
        <v>5.7</v>
      </c>
      <c r="C116" s="2">
        <f>IFERROR(__xludf.DUMMYFUNCTION("VALUE(REGEXEXTRACT(A116, ""Contact Quotient: ([0-9.]+)""))"),0.28)</f>
        <v>0.28</v>
      </c>
    </row>
    <row r="117">
      <c r="A117" s="1" t="s">
        <v>118</v>
      </c>
      <c r="B117" s="2">
        <f>IFERROR(__xludf.DUMMYFUNCTION("VALUE(REGEXEXTRACT(A117, ""Time ([0-9.]+)s""))"),5.75)</f>
        <v>5.75</v>
      </c>
      <c r="C117" s="2">
        <f>IFERROR(__xludf.DUMMYFUNCTION("VALUE(REGEXEXTRACT(A117, ""Contact Quotient: ([0-9.]+)""))"),0.28)</f>
        <v>0.28</v>
      </c>
    </row>
    <row r="118">
      <c r="A118" s="1" t="s">
        <v>119</v>
      </c>
      <c r="B118" s="2">
        <f>IFERROR(__xludf.DUMMYFUNCTION("VALUE(REGEXEXTRACT(A118, ""Time ([0-9.]+)s""))"),5.8)</f>
        <v>5.8</v>
      </c>
      <c r="C118" s="2">
        <f>IFERROR(__xludf.DUMMYFUNCTION("VALUE(REGEXEXTRACT(A118, ""Contact Quotient: ([0-9.]+)""))"),0.28)</f>
        <v>0.28</v>
      </c>
    </row>
    <row r="119">
      <c r="A119" s="1" t="s">
        <v>120</v>
      </c>
      <c r="B119" s="2">
        <f>IFERROR(__xludf.DUMMYFUNCTION("VALUE(REGEXEXTRACT(A119, ""Time ([0-9.]+)s""))"),5.85)</f>
        <v>5.85</v>
      </c>
      <c r="C119" s="2">
        <f>IFERROR(__xludf.DUMMYFUNCTION("VALUE(REGEXEXTRACT(A119, ""Contact Quotient: ([0-9.]+)""))"),0.28)</f>
        <v>0.28</v>
      </c>
    </row>
    <row r="120">
      <c r="A120" s="1" t="s">
        <v>121</v>
      </c>
      <c r="B120" s="2">
        <f>IFERROR(__xludf.DUMMYFUNCTION("VALUE(REGEXEXTRACT(A120, ""Time ([0-9.]+)s""))"),5.9)</f>
        <v>5.9</v>
      </c>
      <c r="C120" s="2">
        <f>IFERROR(__xludf.DUMMYFUNCTION("VALUE(REGEXEXTRACT(A120, ""Contact Quotient: ([0-9.]+)""))"),0.28)</f>
        <v>0.28</v>
      </c>
    </row>
    <row r="121">
      <c r="A121" s="1" t="s">
        <v>122</v>
      </c>
      <c r="B121" s="2">
        <f>IFERROR(__xludf.DUMMYFUNCTION("VALUE(REGEXEXTRACT(A121, ""Time ([0-9.]+)s""))"),5.95)</f>
        <v>5.95</v>
      </c>
      <c r="C121" s="2">
        <f>IFERROR(__xludf.DUMMYFUNCTION("VALUE(REGEXEXTRACT(A121, ""Contact Quotient: ([0-9.]+)""))"),0.28)</f>
        <v>0.28</v>
      </c>
    </row>
    <row r="122">
      <c r="A122" s="1" t="s">
        <v>123</v>
      </c>
      <c r="B122" s="2">
        <f>IFERROR(__xludf.DUMMYFUNCTION("VALUE(REGEXEXTRACT(A122, ""Time ([0-9.]+)s""))"),6.0)</f>
        <v>6</v>
      </c>
      <c r="C122" s="2">
        <f>IFERROR(__xludf.DUMMYFUNCTION("VALUE(REGEXEXTRACT(A122, ""Contact Quotient: ([0-9.]+)""))"),0.28)</f>
        <v>0.28</v>
      </c>
    </row>
    <row r="123">
      <c r="A123" s="1" t="s">
        <v>124</v>
      </c>
      <c r="B123" s="2">
        <f>IFERROR(__xludf.DUMMYFUNCTION("VALUE(REGEXEXTRACT(A123, ""Time ([0-9.]+)s""))"),6.05)</f>
        <v>6.05</v>
      </c>
      <c r="C123" s="2">
        <f>IFERROR(__xludf.DUMMYFUNCTION("VALUE(REGEXEXTRACT(A123, ""Contact Quotient: ([0-9.]+)""))"),0.28)</f>
        <v>0.28</v>
      </c>
    </row>
    <row r="124">
      <c r="A124" s="1" t="s">
        <v>125</v>
      </c>
      <c r="B124" s="2">
        <f>IFERROR(__xludf.DUMMYFUNCTION("VALUE(REGEXEXTRACT(A124, ""Time ([0-9.]+)s""))"),6.1)</f>
        <v>6.1</v>
      </c>
      <c r="C124" s="2">
        <f>IFERROR(__xludf.DUMMYFUNCTION("VALUE(REGEXEXTRACT(A124, ""Contact Quotient: ([0-9.]+)""))"),0.3)</f>
        <v>0.3</v>
      </c>
    </row>
    <row r="125">
      <c r="A125" s="1" t="s">
        <v>126</v>
      </c>
      <c r="B125" s="2">
        <f>IFERROR(__xludf.DUMMYFUNCTION("VALUE(REGEXEXTRACT(A125, ""Time ([0-9.]+)s""))"),6.15)</f>
        <v>6.15</v>
      </c>
      <c r="C125" s="2">
        <f>IFERROR(__xludf.DUMMYFUNCTION("VALUE(REGEXEXTRACT(A125, ""Contact Quotient: ([0-9.]+)""))"),0.34)</f>
        <v>0.34</v>
      </c>
    </row>
    <row r="126">
      <c r="A126" s="1" t="s">
        <v>127</v>
      </c>
      <c r="B126" s="2">
        <f>IFERROR(__xludf.DUMMYFUNCTION("VALUE(REGEXEXTRACT(A126, ""Time ([0-9.]+)s""))"),6.2)</f>
        <v>6.2</v>
      </c>
      <c r="C126" s="2">
        <f>IFERROR(__xludf.DUMMYFUNCTION("VALUE(REGEXEXTRACT(A126, ""Contact Quotient: ([0-9.]+)""))"),0.3)</f>
        <v>0.3</v>
      </c>
    </row>
    <row r="127">
      <c r="A127" s="1" t="s">
        <v>128</v>
      </c>
      <c r="B127" s="2">
        <f>IFERROR(__xludf.DUMMYFUNCTION("VALUE(REGEXEXTRACT(A127, ""Time ([0-9.]+)s""))"),6.25)</f>
        <v>6.25</v>
      </c>
      <c r="C127" s="2">
        <f>IFERROR(__xludf.DUMMYFUNCTION("VALUE(REGEXEXTRACT(A127, ""Contact Quotient: ([0-9.]+)""))"),0.3)</f>
        <v>0.3</v>
      </c>
    </row>
    <row r="128">
      <c r="A128" s="1" t="s">
        <v>129</v>
      </c>
      <c r="B128" s="2">
        <f>IFERROR(__xludf.DUMMYFUNCTION("VALUE(REGEXEXTRACT(A128, ""Time ([0-9.]+)s""))"),6.3)</f>
        <v>6.3</v>
      </c>
      <c r="C128" s="2">
        <f>IFERROR(__xludf.DUMMYFUNCTION("VALUE(REGEXEXTRACT(A128, ""Contact Quotient: ([0-9.]+)""))"),0.3)</f>
        <v>0.3</v>
      </c>
    </row>
    <row r="129">
      <c r="A129" s="1" t="s">
        <v>130</v>
      </c>
      <c r="B129" s="2">
        <f>IFERROR(__xludf.DUMMYFUNCTION("VALUE(REGEXEXTRACT(A129, ""Time ([0-9.]+)s""))"),6.35)</f>
        <v>6.35</v>
      </c>
      <c r="C129" s="2">
        <f>IFERROR(__xludf.DUMMYFUNCTION("VALUE(REGEXEXTRACT(A129, ""Contact Quotient: ([0-9.]+)""))"),0.29)</f>
        <v>0.29</v>
      </c>
    </row>
    <row r="130">
      <c r="A130" s="1" t="s">
        <v>131</v>
      </c>
      <c r="B130" s="2">
        <f>IFERROR(__xludf.DUMMYFUNCTION("VALUE(REGEXEXTRACT(A130, ""Time ([0-9.]+)s""))"),6.4)</f>
        <v>6.4</v>
      </c>
      <c r="C130" s="2">
        <f>IFERROR(__xludf.DUMMYFUNCTION("VALUE(REGEXEXTRACT(A130, ""Contact Quotient: ([0-9.]+)""))"),0.33)</f>
        <v>0.33</v>
      </c>
    </row>
    <row r="131">
      <c r="A131" s="1" t="s">
        <v>132</v>
      </c>
      <c r="B131" s="2">
        <f>IFERROR(__xludf.DUMMYFUNCTION("VALUE(REGEXEXTRACT(A131, ""Time ([0-9.]+)s""))"),6.45)</f>
        <v>6.45</v>
      </c>
      <c r="C131" s="2">
        <f>IFERROR(__xludf.DUMMYFUNCTION("VALUE(REGEXEXTRACT(A131, ""Contact Quotient: ([0-9.]+)""))"),0.33)</f>
        <v>0.33</v>
      </c>
    </row>
    <row r="132">
      <c r="A132" s="1" t="s">
        <v>133</v>
      </c>
      <c r="B132" s="2">
        <f>IFERROR(__xludf.DUMMYFUNCTION("VALUE(REGEXEXTRACT(A132, ""Time ([0-9.]+)s""))"),6.5)</f>
        <v>6.5</v>
      </c>
      <c r="C132" s="2">
        <f>IFERROR(__xludf.DUMMYFUNCTION("VALUE(REGEXEXTRACT(A132, ""Contact Quotient: ([0-9.]+)""))"),0.36)</f>
        <v>0.36</v>
      </c>
    </row>
    <row r="133">
      <c r="A133" s="1" t="s">
        <v>134</v>
      </c>
      <c r="B133" s="2">
        <f>IFERROR(__xludf.DUMMYFUNCTION("VALUE(REGEXEXTRACT(A133, ""Time ([0-9.]+)s""))"),6.55)</f>
        <v>6.55</v>
      </c>
      <c r="C133" s="2">
        <f>IFERROR(__xludf.DUMMYFUNCTION("VALUE(REGEXEXTRACT(A133, ""Contact Quotient: ([0-9.]+)""))"),0.37)</f>
        <v>0.37</v>
      </c>
    </row>
    <row r="134">
      <c r="A134" s="1" t="s">
        <v>135</v>
      </c>
      <c r="B134" s="2">
        <f>IFERROR(__xludf.DUMMYFUNCTION("VALUE(REGEXEXTRACT(A134, ""Time ([0-9.]+)s""))"),6.6)</f>
        <v>6.6</v>
      </c>
      <c r="C134" s="2">
        <f>IFERROR(__xludf.DUMMYFUNCTION("VALUE(REGEXEXTRACT(A134, ""Contact Quotient: ([0-9.]+)""))"),0.35)</f>
        <v>0.35</v>
      </c>
    </row>
    <row r="135">
      <c r="A135" s="1" t="s">
        <v>136</v>
      </c>
      <c r="B135" s="2">
        <f>IFERROR(__xludf.DUMMYFUNCTION("VALUE(REGEXEXTRACT(A135, ""Time ([0-9.]+)s""))"),6.65)</f>
        <v>6.65</v>
      </c>
      <c r="C135" s="2">
        <f>IFERROR(__xludf.DUMMYFUNCTION("VALUE(REGEXEXTRACT(A135, ""Contact Quotient: ([0-9.]+)""))"),0.33)</f>
        <v>0.33</v>
      </c>
    </row>
    <row r="136">
      <c r="A136" s="1" t="s">
        <v>137</v>
      </c>
      <c r="B136" s="2">
        <f>IFERROR(__xludf.DUMMYFUNCTION("VALUE(REGEXEXTRACT(A136, ""Time ([0-9.]+)s""))"),6.7)</f>
        <v>6.7</v>
      </c>
      <c r="C136" s="2">
        <f>IFERROR(__xludf.DUMMYFUNCTION("VALUE(REGEXEXTRACT(A136, ""Contact Quotient: ([0-9.]+)""))"),0.29)</f>
        <v>0.29</v>
      </c>
    </row>
    <row r="137">
      <c r="A137" s="1" t="s">
        <v>138</v>
      </c>
      <c r="B137" s="2">
        <f>IFERROR(__xludf.DUMMYFUNCTION("VALUE(REGEXEXTRACT(A137, ""Time ([0-9.]+)s""))"),6.75)</f>
        <v>6.75</v>
      </c>
      <c r="C137" s="2">
        <f>IFERROR(__xludf.DUMMYFUNCTION("VALUE(REGEXEXTRACT(A137, ""Contact Quotient: ([0-9.]+)""))"),0.3)</f>
        <v>0.3</v>
      </c>
    </row>
    <row r="138">
      <c r="A138" s="1" t="s">
        <v>139</v>
      </c>
      <c r="B138" s="2">
        <f>IFERROR(__xludf.DUMMYFUNCTION("VALUE(REGEXEXTRACT(A138, ""Time ([0-9.]+)s""))"),6.8)</f>
        <v>6.8</v>
      </c>
      <c r="C138" s="2">
        <f>IFERROR(__xludf.DUMMYFUNCTION("VALUE(REGEXEXTRACT(A138, ""Contact Quotient: ([0-9.]+)""))"),0.32)</f>
        <v>0.32</v>
      </c>
    </row>
    <row r="139">
      <c r="A139" s="1" t="s">
        <v>140</v>
      </c>
      <c r="B139" s="2">
        <f>IFERROR(__xludf.DUMMYFUNCTION("VALUE(REGEXEXTRACT(A139, ""Time ([0-9.]+)s""))"),6.85)</f>
        <v>6.85</v>
      </c>
      <c r="C139" s="2">
        <f>IFERROR(__xludf.DUMMYFUNCTION("VALUE(REGEXEXTRACT(A139, ""Contact Quotient: ([0-9.]+)""))"),0.35)</f>
        <v>0.35</v>
      </c>
    </row>
    <row r="140">
      <c r="A140" s="1" t="s">
        <v>141</v>
      </c>
      <c r="B140" s="2">
        <f>IFERROR(__xludf.DUMMYFUNCTION("VALUE(REGEXEXTRACT(A140, ""Time ([0-9.]+)s""))"),6.9)</f>
        <v>6.9</v>
      </c>
      <c r="C140" s="2">
        <f>IFERROR(__xludf.DUMMYFUNCTION("VALUE(REGEXEXTRACT(A140, ""Contact Quotient: ([0-9.]+)""))"),0.35)</f>
        <v>0.35</v>
      </c>
    </row>
    <row r="141">
      <c r="A141" s="1" t="s">
        <v>142</v>
      </c>
      <c r="B141" s="2">
        <f>IFERROR(__xludf.DUMMYFUNCTION("VALUE(REGEXEXTRACT(A141, ""Time ([0-9.]+)s""))"),6.95)</f>
        <v>6.95</v>
      </c>
      <c r="C141" s="2">
        <f>IFERROR(__xludf.DUMMYFUNCTION("VALUE(REGEXEXTRACT(A141, ""Contact Quotient: ([0-9.]+)""))"),0.34)</f>
        <v>0.34</v>
      </c>
    </row>
    <row r="142">
      <c r="A142" s="1" t="s">
        <v>143</v>
      </c>
      <c r="B142" s="2">
        <f>IFERROR(__xludf.DUMMYFUNCTION("VALUE(REGEXEXTRACT(A142, ""Time ([0-9.]+)s""))"),7.0)</f>
        <v>7</v>
      </c>
      <c r="C142" s="2">
        <f>IFERROR(__xludf.DUMMYFUNCTION("VALUE(REGEXEXTRACT(A142, ""Contact Quotient: ([0-9.]+)""))"),0.32)</f>
        <v>0.32</v>
      </c>
    </row>
    <row r="143">
      <c r="A143" s="1" t="s">
        <v>144</v>
      </c>
      <c r="B143" s="2">
        <f>IFERROR(__xludf.DUMMYFUNCTION("VALUE(REGEXEXTRACT(A143, ""Time ([0-9.]+)s""))"),7.05)</f>
        <v>7.05</v>
      </c>
      <c r="C143" s="2">
        <f>IFERROR(__xludf.DUMMYFUNCTION("VALUE(REGEXEXTRACT(A143, ""Contact Quotient: ([0-9.]+)""))"),0.27)</f>
        <v>0.27</v>
      </c>
    </row>
    <row r="144">
      <c r="A144" s="1" t="s">
        <v>145</v>
      </c>
      <c r="B144" s="2">
        <f>IFERROR(__xludf.DUMMYFUNCTION("VALUE(REGEXEXTRACT(A144, ""Time ([0-9.]+)s""))"),7.1)</f>
        <v>7.1</v>
      </c>
      <c r="C144" s="2">
        <f>IFERROR(__xludf.DUMMYFUNCTION("VALUE(REGEXEXTRACT(A144, ""Contact Quotient: ([0-9.]+)""))"),0.29)</f>
        <v>0.29</v>
      </c>
    </row>
    <row r="145">
      <c r="A145" s="1" t="s">
        <v>146</v>
      </c>
      <c r="B145" s="2">
        <f>IFERROR(__xludf.DUMMYFUNCTION("VALUE(REGEXEXTRACT(A145, ""Time ([0-9.]+)s""))"),7.15)</f>
        <v>7.15</v>
      </c>
      <c r="C145" s="2">
        <f>IFERROR(__xludf.DUMMYFUNCTION("VALUE(REGEXEXTRACT(A145, ""Contact Quotient: ([0-9.]+)""))"),0.36)</f>
        <v>0.36</v>
      </c>
    </row>
    <row r="146">
      <c r="A146" s="1" t="s">
        <v>147</v>
      </c>
      <c r="B146" s="2">
        <f>IFERROR(__xludf.DUMMYFUNCTION("VALUE(REGEXEXTRACT(A146, ""Time ([0-9.]+)s""))"),7.2)</f>
        <v>7.2</v>
      </c>
      <c r="C146" s="2">
        <f>IFERROR(__xludf.DUMMYFUNCTION("VALUE(REGEXEXTRACT(A146, ""Contact Quotient: ([0-9.]+)""))"),0.39)</f>
        <v>0.39</v>
      </c>
    </row>
    <row r="147">
      <c r="A147" s="1" t="s">
        <v>148</v>
      </c>
      <c r="B147" s="2">
        <f>IFERROR(__xludf.DUMMYFUNCTION("VALUE(REGEXEXTRACT(A147, ""Time ([0-9.]+)s""))"),7.25)</f>
        <v>7.25</v>
      </c>
      <c r="C147" s="2">
        <f>IFERROR(__xludf.DUMMYFUNCTION("VALUE(REGEXEXTRACT(A147, ""Contact Quotient: ([0-9.]+)""))"),0.35)</f>
        <v>0.35</v>
      </c>
    </row>
    <row r="148">
      <c r="A148" s="1" t="s">
        <v>149</v>
      </c>
      <c r="B148" s="2">
        <f>IFERROR(__xludf.DUMMYFUNCTION("VALUE(REGEXEXTRACT(A148, ""Time ([0-9.]+)s""))"),7.3)</f>
        <v>7.3</v>
      </c>
      <c r="C148" s="2">
        <f>IFERROR(__xludf.DUMMYFUNCTION("VALUE(REGEXEXTRACT(A148, ""Contact Quotient: ([0-9.]+)""))"),0.29)</f>
        <v>0.29</v>
      </c>
    </row>
    <row r="149">
      <c r="A149" s="1" t="s">
        <v>150</v>
      </c>
      <c r="B149" s="2">
        <f>IFERROR(__xludf.DUMMYFUNCTION("VALUE(REGEXEXTRACT(A149, ""Time ([0-9.]+)s""))"),7.35)</f>
        <v>7.35</v>
      </c>
      <c r="C149" s="2">
        <f>IFERROR(__xludf.DUMMYFUNCTION("VALUE(REGEXEXTRACT(A149, ""Contact Quotient: ([0-9.]+)""))"),0.29)</f>
        <v>0.29</v>
      </c>
    </row>
    <row r="150">
      <c r="A150" s="1" t="s">
        <v>151</v>
      </c>
      <c r="B150" s="2">
        <f>IFERROR(__xludf.DUMMYFUNCTION("VALUE(REGEXEXTRACT(A150, ""Time ([0-9.]+)s""))"),7.4)</f>
        <v>7.4</v>
      </c>
      <c r="C150" s="2">
        <f>IFERROR(__xludf.DUMMYFUNCTION("VALUE(REGEXEXTRACT(A150, ""Contact Quotient: ([0-9.]+)""))"),0.28)</f>
        <v>0.28</v>
      </c>
    </row>
    <row r="151">
      <c r="A151" s="1" t="s">
        <v>152</v>
      </c>
      <c r="B151" s="2">
        <f>IFERROR(__xludf.DUMMYFUNCTION("VALUE(REGEXEXTRACT(A151, ""Time ([0-9.]+)s""))"),7.45)</f>
        <v>7.45</v>
      </c>
      <c r="C151" s="2">
        <f>IFERROR(__xludf.DUMMYFUNCTION("VALUE(REGEXEXTRACT(A151, ""Contact Quotient: ([0-9.]+)""))"),0.28)</f>
        <v>0.28</v>
      </c>
    </row>
    <row r="152">
      <c r="A152" s="1" t="s">
        <v>153</v>
      </c>
      <c r="B152" s="2">
        <f>IFERROR(__xludf.DUMMYFUNCTION("VALUE(REGEXEXTRACT(A152, ""Time ([0-9.]+)s""))"),7.5)</f>
        <v>7.5</v>
      </c>
      <c r="C152" s="2">
        <f>IFERROR(__xludf.DUMMYFUNCTION("VALUE(REGEXEXTRACT(A152, ""Contact Quotient: ([0-9.]+)""))"),0.32)</f>
        <v>0.32</v>
      </c>
    </row>
    <row r="153">
      <c r="A153" s="1" t="s">
        <v>154</v>
      </c>
      <c r="B153" s="2">
        <f>IFERROR(__xludf.DUMMYFUNCTION("VALUE(REGEXEXTRACT(A153, ""Time ([0-9.]+)s""))"),7.55)</f>
        <v>7.55</v>
      </c>
      <c r="C153" s="2">
        <f>IFERROR(__xludf.DUMMYFUNCTION("VALUE(REGEXEXTRACT(A153, ""Contact Quotient: ([0-9.]+)""))"),0.32)</f>
        <v>0.32</v>
      </c>
    </row>
    <row r="154">
      <c r="A154" s="1" t="s">
        <v>155</v>
      </c>
      <c r="B154" s="2">
        <f>IFERROR(__xludf.DUMMYFUNCTION("VALUE(REGEXEXTRACT(A154, ""Time ([0-9.]+)s""))"),7.6)</f>
        <v>7.6</v>
      </c>
      <c r="C154" s="2">
        <f>IFERROR(__xludf.DUMMYFUNCTION("VALUE(REGEXEXTRACT(A154, ""Contact Quotient: ([0-9.]+)""))"),0.34)</f>
        <v>0.34</v>
      </c>
    </row>
    <row r="155">
      <c r="A155" s="1" t="s">
        <v>156</v>
      </c>
      <c r="B155" s="2">
        <f>IFERROR(__xludf.DUMMYFUNCTION("VALUE(REGEXEXTRACT(A155, ""Time ([0-9.]+)s""))"),7.65)</f>
        <v>7.65</v>
      </c>
      <c r="C155" s="2">
        <f>IFERROR(__xludf.DUMMYFUNCTION("VALUE(REGEXEXTRACT(A155, ""Contact Quotient: ([0-9.]+)""))"),0.36)</f>
        <v>0.36</v>
      </c>
    </row>
    <row r="156">
      <c r="A156" s="1" t="s">
        <v>157</v>
      </c>
      <c r="B156" s="2">
        <f>IFERROR(__xludf.DUMMYFUNCTION("VALUE(REGEXEXTRACT(A156, ""Time ([0-9.]+)s""))"),7.7)</f>
        <v>7.7</v>
      </c>
      <c r="C156" s="2">
        <f>IFERROR(__xludf.DUMMYFUNCTION("VALUE(REGEXEXTRACT(A156, ""Contact Quotient: ([0-9.]+)""))"),0.36)</f>
        <v>0.36</v>
      </c>
    </row>
    <row r="157">
      <c r="A157" s="1" t="s">
        <v>158</v>
      </c>
      <c r="B157" s="2">
        <f>IFERROR(__xludf.DUMMYFUNCTION("VALUE(REGEXEXTRACT(A157, ""Time ([0-9.]+)s""))"),7.75)</f>
        <v>7.75</v>
      </c>
      <c r="C157" s="2">
        <f>IFERROR(__xludf.DUMMYFUNCTION("VALUE(REGEXEXTRACT(A157, ""Contact Quotient: ([0-9.]+)""))"),0.37)</f>
        <v>0.37</v>
      </c>
    </row>
    <row r="158">
      <c r="A158" s="1" t="s">
        <v>159</v>
      </c>
      <c r="B158" s="2">
        <f>IFERROR(__xludf.DUMMYFUNCTION("VALUE(REGEXEXTRACT(A158, ""Time ([0-9.]+)s""))"),7.8)</f>
        <v>7.8</v>
      </c>
      <c r="C158" s="2">
        <f>IFERROR(__xludf.DUMMYFUNCTION("VALUE(REGEXEXTRACT(A158, ""Contact Quotient: ([0-9.]+)""))"),0.35)</f>
        <v>0.35</v>
      </c>
    </row>
    <row r="159">
      <c r="A159" s="1" t="s">
        <v>160</v>
      </c>
      <c r="B159" s="2">
        <f>IFERROR(__xludf.DUMMYFUNCTION("VALUE(REGEXEXTRACT(A159, ""Time ([0-9.]+)s""))"),7.85)</f>
        <v>7.85</v>
      </c>
      <c r="C159" s="2">
        <f>IFERROR(__xludf.DUMMYFUNCTION("VALUE(REGEXEXTRACT(A159, ""Contact Quotient: ([0-9.]+)""))"),0.35)</f>
        <v>0.35</v>
      </c>
    </row>
    <row r="160">
      <c r="A160" s="1" t="s">
        <v>161</v>
      </c>
      <c r="B160" s="2">
        <f>IFERROR(__xludf.DUMMYFUNCTION("VALUE(REGEXEXTRACT(A160, ""Time ([0-9.]+)s""))"),7.9)</f>
        <v>7.9</v>
      </c>
      <c r="C160" s="2">
        <f>IFERROR(__xludf.DUMMYFUNCTION("VALUE(REGEXEXTRACT(A160, ""Contact Quotient: ([0-9.]+)""))"),0.38)</f>
        <v>0.38</v>
      </c>
    </row>
    <row r="161">
      <c r="A161" s="1" t="s">
        <v>162</v>
      </c>
      <c r="B161" s="2">
        <f>IFERROR(__xludf.DUMMYFUNCTION("VALUE(REGEXEXTRACT(A161, ""Time ([0-9.]+)s""))"),7.95)</f>
        <v>7.95</v>
      </c>
      <c r="C161" s="2">
        <f>IFERROR(__xludf.DUMMYFUNCTION("VALUE(REGEXEXTRACT(A161, ""Contact Quotient: ([0-9.]+)""))"),0.38)</f>
        <v>0.38</v>
      </c>
    </row>
    <row r="162">
      <c r="A162" s="1" t="s">
        <v>163</v>
      </c>
      <c r="B162" s="2">
        <f>IFERROR(__xludf.DUMMYFUNCTION("VALUE(REGEXEXTRACT(A162, ""Time ([0-9.]+)s""))"),8.0)</f>
        <v>8</v>
      </c>
      <c r="C162" s="2">
        <f>IFERROR(__xludf.DUMMYFUNCTION("VALUE(REGEXEXTRACT(A162, ""Contact Quotient: ([0-9.]+)""))"),0.38)</f>
        <v>0.38</v>
      </c>
    </row>
    <row r="163">
      <c r="A163" s="1" t="s">
        <v>164</v>
      </c>
      <c r="B163" s="2">
        <f>IFERROR(__xludf.DUMMYFUNCTION("VALUE(REGEXEXTRACT(A163, ""Time ([0-9.]+)s""))"),8.05)</f>
        <v>8.05</v>
      </c>
      <c r="C163" s="2">
        <f>IFERROR(__xludf.DUMMYFUNCTION("VALUE(REGEXEXTRACT(A163, ""Contact Quotient: ([0-9.]+)""))"),0.38)</f>
        <v>0.38</v>
      </c>
    </row>
    <row r="164">
      <c r="A164" s="1" t="s">
        <v>165</v>
      </c>
      <c r="B164" s="2">
        <f>IFERROR(__xludf.DUMMYFUNCTION("VALUE(REGEXEXTRACT(A164, ""Time ([0-9.]+)s""))"),8.1)</f>
        <v>8.1</v>
      </c>
      <c r="C164" s="2">
        <f>IFERROR(__xludf.DUMMYFUNCTION("VALUE(REGEXEXTRACT(A164, ""Contact Quotient: ([0-9.]+)""))"),0.38)</f>
        <v>0.38</v>
      </c>
    </row>
    <row r="165">
      <c r="A165" s="1" t="s">
        <v>166</v>
      </c>
      <c r="B165" s="2">
        <f>IFERROR(__xludf.DUMMYFUNCTION("VALUE(REGEXEXTRACT(A165, ""Time ([0-9.]+)s""))"),8.15)</f>
        <v>8.15</v>
      </c>
      <c r="C165" s="2">
        <f>IFERROR(__xludf.DUMMYFUNCTION("VALUE(REGEXEXTRACT(A165, ""Contact Quotient: ([0-9.]+)""))"),0.38)</f>
        <v>0.38</v>
      </c>
    </row>
    <row r="166">
      <c r="A166" s="1" t="s">
        <v>167</v>
      </c>
      <c r="B166" s="2">
        <f>IFERROR(__xludf.DUMMYFUNCTION("VALUE(REGEXEXTRACT(A166, ""Time ([0-9.]+)s""))"),8.2)</f>
        <v>8.2</v>
      </c>
      <c r="C166" s="2">
        <f>IFERROR(__xludf.DUMMYFUNCTION("VALUE(REGEXEXTRACT(A166, ""Contact Quotient: ([0-9.]+)""))"),0.38)</f>
        <v>0.38</v>
      </c>
    </row>
    <row r="167">
      <c r="A167" s="1" t="s">
        <v>168</v>
      </c>
      <c r="B167" s="2">
        <f>IFERROR(__xludf.DUMMYFUNCTION("VALUE(REGEXEXTRACT(A167, ""Time ([0-9.]+)s""))"),8.25)</f>
        <v>8.25</v>
      </c>
      <c r="C167" s="2">
        <f>IFERROR(__xludf.DUMMYFUNCTION("VALUE(REGEXEXTRACT(A167, ""Contact Quotient: ([0-9.]+)""))"),0.38)</f>
        <v>0.38</v>
      </c>
    </row>
    <row r="168">
      <c r="A168" s="1" t="s">
        <v>169</v>
      </c>
      <c r="B168" s="2">
        <f>IFERROR(__xludf.DUMMYFUNCTION("VALUE(REGEXEXTRACT(A168, ""Time ([0-9.]+)s""))"),8.3)</f>
        <v>8.3</v>
      </c>
      <c r="C168" s="2">
        <f>IFERROR(__xludf.DUMMYFUNCTION("VALUE(REGEXEXTRACT(A168, ""Contact Quotient: ([0-9.]+)""))"),0.38)</f>
        <v>0.38</v>
      </c>
    </row>
    <row r="169">
      <c r="A169" s="1" t="s">
        <v>170</v>
      </c>
      <c r="B169" s="2">
        <f>IFERROR(__xludf.DUMMYFUNCTION("VALUE(REGEXEXTRACT(A169, ""Time ([0-9.]+)s""))"),8.35)</f>
        <v>8.35</v>
      </c>
      <c r="C169" s="2">
        <f>IFERROR(__xludf.DUMMYFUNCTION("VALUE(REGEXEXTRACT(A169, ""Contact Quotient: ([0-9.]+)""))"),0.38)</f>
        <v>0.38</v>
      </c>
    </row>
    <row r="170">
      <c r="A170" s="1" t="s">
        <v>171</v>
      </c>
      <c r="B170" s="2">
        <f>IFERROR(__xludf.DUMMYFUNCTION("VALUE(REGEXEXTRACT(A170, ""Time ([0-9.]+)s""))"),8.4)</f>
        <v>8.4</v>
      </c>
      <c r="C170" s="2">
        <f>IFERROR(__xludf.DUMMYFUNCTION("VALUE(REGEXEXTRACT(A170, ""Contact Quotient: ([0-9.]+)""))"),0.38)</f>
        <v>0.38</v>
      </c>
    </row>
    <row r="171">
      <c r="A171" s="1" t="s">
        <v>172</v>
      </c>
      <c r="B171" s="2">
        <f>IFERROR(__xludf.DUMMYFUNCTION("VALUE(REGEXEXTRACT(A171, ""Time ([0-9.]+)s""))"),8.45)</f>
        <v>8.45</v>
      </c>
      <c r="C171" s="2">
        <f>IFERROR(__xludf.DUMMYFUNCTION("VALUE(REGEXEXTRACT(A171, ""Contact Quotient: ([0-9.]+)""))"),0.38)</f>
        <v>0.38</v>
      </c>
    </row>
    <row r="172">
      <c r="A172" s="1" t="s">
        <v>173</v>
      </c>
      <c r="B172" s="2">
        <f>IFERROR(__xludf.DUMMYFUNCTION("VALUE(REGEXEXTRACT(A172, ""Time ([0-9.]+)s""))"),8.5)</f>
        <v>8.5</v>
      </c>
      <c r="C172" s="2">
        <f>IFERROR(__xludf.DUMMYFUNCTION("VALUE(REGEXEXTRACT(A172, ""Contact Quotient: ([0-9.]+)""))"),0.38)</f>
        <v>0.38</v>
      </c>
    </row>
    <row r="173">
      <c r="A173" s="1" t="s">
        <v>174</v>
      </c>
      <c r="B173" s="2">
        <f>IFERROR(__xludf.DUMMYFUNCTION("VALUE(REGEXEXTRACT(A173, ""Time ([0-9.]+)s""))"),8.55)</f>
        <v>8.55</v>
      </c>
      <c r="C173" s="2">
        <f>IFERROR(__xludf.DUMMYFUNCTION("VALUE(REGEXEXTRACT(A173, ""Contact Quotient: ([0-9.]+)""))"),0.38)</f>
        <v>0.38</v>
      </c>
    </row>
    <row r="174">
      <c r="A174" s="1" t="s">
        <v>175</v>
      </c>
      <c r="B174" s="2">
        <f>IFERROR(__xludf.DUMMYFUNCTION("VALUE(REGEXEXTRACT(A174, ""Time ([0-9.]+)s""))"),8.6)</f>
        <v>8.6</v>
      </c>
      <c r="C174" s="2">
        <f>IFERROR(__xludf.DUMMYFUNCTION("VALUE(REGEXEXTRACT(A174, ""Contact Quotient: ([0-9.]+)""))"),0.33)</f>
        <v>0.33</v>
      </c>
    </row>
    <row r="175">
      <c r="A175" s="1" t="s">
        <v>176</v>
      </c>
      <c r="B175" s="2">
        <f>IFERROR(__xludf.DUMMYFUNCTION("VALUE(REGEXEXTRACT(A175, ""Time ([0-9.]+)s""))"),8.65)</f>
        <v>8.65</v>
      </c>
      <c r="C175" s="2">
        <f>IFERROR(__xludf.DUMMYFUNCTION("VALUE(REGEXEXTRACT(A175, ""Contact Quotient: ([0-9.]+)""))"),0.39)</f>
        <v>0.39</v>
      </c>
    </row>
    <row r="176">
      <c r="A176" s="1" t="s">
        <v>177</v>
      </c>
      <c r="B176" s="2">
        <f>IFERROR(__xludf.DUMMYFUNCTION("VALUE(REGEXEXTRACT(A176, ""Time ([0-9.]+)s""))"),8.7)</f>
        <v>8.7</v>
      </c>
      <c r="C176" s="2">
        <f>IFERROR(__xludf.DUMMYFUNCTION("VALUE(REGEXEXTRACT(A176, ""Contact Quotient: ([0-9.]+)""))"),0.39)</f>
        <v>0.39</v>
      </c>
    </row>
    <row r="177">
      <c r="A177" s="1" t="s">
        <v>178</v>
      </c>
      <c r="B177" s="2">
        <f>IFERROR(__xludf.DUMMYFUNCTION("VALUE(REGEXEXTRACT(A177, ""Time ([0-9.]+)s""))"),8.75)</f>
        <v>8.75</v>
      </c>
      <c r="C177" s="2">
        <f>IFERROR(__xludf.DUMMYFUNCTION("VALUE(REGEXEXTRACT(A177, ""Contact Quotient: ([0-9.]+)""))"),0.39)</f>
        <v>0.39</v>
      </c>
    </row>
    <row r="178">
      <c r="A178" s="1" t="s">
        <v>179</v>
      </c>
      <c r="B178" s="2">
        <f>IFERROR(__xludf.DUMMYFUNCTION("VALUE(REGEXEXTRACT(A178, ""Time ([0-9.]+)s""))"),8.8)</f>
        <v>8.8</v>
      </c>
      <c r="C178" s="2">
        <f>IFERROR(__xludf.DUMMYFUNCTION("VALUE(REGEXEXTRACT(A178, ""Contact Quotient: ([0-9.]+)""))"),0.39)</f>
        <v>0.39</v>
      </c>
    </row>
    <row r="179">
      <c r="A179" s="1" t="s">
        <v>180</v>
      </c>
      <c r="B179" s="2">
        <f>IFERROR(__xludf.DUMMYFUNCTION("VALUE(REGEXEXTRACT(A179, ""Time ([0-9.]+)s""))"),8.85)</f>
        <v>8.85</v>
      </c>
      <c r="C179" s="2">
        <f>IFERROR(__xludf.DUMMYFUNCTION("VALUE(REGEXEXTRACT(A179, ""Contact Quotient: ([0-9.]+)""))"),0.39)</f>
        <v>0.39</v>
      </c>
    </row>
    <row r="180">
      <c r="A180" s="1" t="s">
        <v>181</v>
      </c>
      <c r="B180" s="2">
        <f>IFERROR(__xludf.DUMMYFUNCTION("VALUE(REGEXEXTRACT(A180, ""Time ([0-9.]+)s""))"),8.9)</f>
        <v>8.9</v>
      </c>
      <c r="C180" s="2">
        <f>IFERROR(__xludf.DUMMYFUNCTION("VALUE(REGEXEXTRACT(A180, ""Contact Quotient: ([0-9.]+)""))"),0.38)</f>
        <v>0.38</v>
      </c>
    </row>
    <row r="181">
      <c r="A181" s="1" t="s">
        <v>182</v>
      </c>
      <c r="B181" s="2">
        <f>IFERROR(__xludf.DUMMYFUNCTION("VALUE(REGEXEXTRACT(A181, ""Time ([0-9.]+)s""))"),8.95)</f>
        <v>8.95</v>
      </c>
      <c r="C181" s="2">
        <f>IFERROR(__xludf.DUMMYFUNCTION("VALUE(REGEXEXTRACT(A181, ""Contact Quotient: ([0-9.]+)""))"),0.42)</f>
        <v>0.42</v>
      </c>
    </row>
    <row r="182">
      <c r="A182" s="1" t="s">
        <v>183</v>
      </c>
      <c r="B182" s="2">
        <f>IFERROR(__xludf.DUMMYFUNCTION("VALUE(REGEXEXTRACT(A182, ""Time ([0-9.]+)s""))"),9.0)</f>
        <v>9</v>
      </c>
      <c r="C182" s="2">
        <f>IFERROR(__xludf.DUMMYFUNCTION("VALUE(REGEXEXTRACT(A182, ""Contact Quotient: ([0-9.]+)""))"),0.42)</f>
        <v>0.42</v>
      </c>
    </row>
    <row r="183">
      <c r="A183" s="1" t="s">
        <v>184</v>
      </c>
      <c r="B183" s="2">
        <f>IFERROR(__xludf.DUMMYFUNCTION("VALUE(REGEXEXTRACT(A183, ""Time ([0-9.]+)s""))"),9.05)</f>
        <v>9.05</v>
      </c>
      <c r="C183" s="2">
        <f>IFERROR(__xludf.DUMMYFUNCTION("VALUE(REGEXEXTRACT(A183, ""Contact Quotient: ([0-9.]+)""))"),0.42)</f>
        <v>0.42</v>
      </c>
    </row>
    <row r="184">
      <c r="A184" s="1" t="s">
        <v>185</v>
      </c>
      <c r="B184" s="2">
        <f>IFERROR(__xludf.DUMMYFUNCTION("VALUE(REGEXEXTRACT(A184, ""Time ([0-9.]+)s""))"),9.1)</f>
        <v>9.1</v>
      </c>
      <c r="C184" s="2">
        <f>IFERROR(__xludf.DUMMYFUNCTION("VALUE(REGEXEXTRACT(A184, ""Contact Quotient: ([0-9.]+)""))"),0.42)</f>
        <v>0.42</v>
      </c>
    </row>
    <row r="185">
      <c r="A185" s="1" t="s">
        <v>186</v>
      </c>
      <c r="B185" s="2">
        <f>IFERROR(__xludf.DUMMYFUNCTION("VALUE(REGEXEXTRACT(A185, ""Time ([0-9.]+)s""))"),9.15)</f>
        <v>9.15</v>
      </c>
      <c r="C185" s="2">
        <f>IFERROR(__xludf.DUMMYFUNCTION("VALUE(REGEXEXTRACT(A185, ""Contact Quotient: ([0-9.]+)""))"),0.42)</f>
        <v>0.42</v>
      </c>
    </row>
    <row r="186">
      <c r="A186" s="1" t="s">
        <v>187</v>
      </c>
      <c r="B186" s="2">
        <f>IFERROR(__xludf.DUMMYFUNCTION("VALUE(REGEXEXTRACT(A186, ""Time ([0-9.]+)s""))"),9.2)</f>
        <v>9.2</v>
      </c>
      <c r="C186" s="2">
        <f>IFERROR(__xludf.DUMMYFUNCTION("VALUE(REGEXEXTRACT(A186, ""Contact Quotient: ([0-9.]+)""))"),0.42)</f>
        <v>0.42</v>
      </c>
    </row>
    <row r="187">
      <c r="A187" s="1" t="s">
        <v>188</v>
      </c>
      <c r="B187" s="2">
        <f>IFERROR(__xludf.DUMMYFUNCTION("VALUE(REGEXEXTRACT(A187, ""Time ([0-9.]+)s""))"),9.25)</f>
        <v>9.25</v>
      </c>
      <c r="C187" s="2">
        <f>IFERROR(__xludf.DUMMYFUNCTION("VALUE(REGEXEXTRACT(A187, ""Contact Quotient: ([0-9.]+)""))"),0.38)</f>
        <v>0.38</v>
      </c>
    </row>
    <row r="188">
      <c r="A188" s="1" t="s">
        <v>189</v>
      </c>
      <c r="B188" s="2">
        <f>IFERROR(__xludf.DUMMYFUNCTION("VALUE(REGEXEXTRACT(A188, ""Time ([0-9.]+)s""))"),9.3)</f>
        <v>9.3</v>
      </c>
      <c r="C188" s="2">
        <f>IFERROR(__xludf.DUMMYFUNCTION("VALUE(REGEXEXTRACT(A188, ""Contact Quotient: ([0-9.]+)""))"),0.38)</f>
        <v>0.38</v>
      </c>
    </row>
    <row r="189">
      <c r="A189" s="1" t="s">
        <v>190</v>
      </c>
      <c r="B189" s="2">
        <f>IFERROR(__xludf.DUMMYFUNCTION("VALUE(REGEXEXTRACT(A189, ""Time ([0-9.]+)s""))"),9.35)</f>
        <v>9.35</v>
      </c>
      <c r="C189" s="2">
        <f>IFERROR(__xludf.DUMMYFUNCTION("VALUE(REGEXEXTRACT(A189, ""Contact Quotient: ([0-9.]+)""))"),0.38)</f>
        <v>0.38</v>
      </c>
    </row>
    <row r="190">
      <c r="A190" s="1" t="s">
        <v>191</v>
      </c>
      <c r="B190" s="2">
        <f>IFERROR(__xludf.DUMMYFUNCTION("VALUE(REGEXEXTRACT(A190, ""Time ([0-9.]+)s""))"),9.4)</f>
        <v>9.4</v>
      </c>
      <c r="C190" s="2">
        <f>IFERROR(__xludf.DUMMYFUNCTION("VALUE(REGEXEXTRACT(A190, ""Contact Quotient: ([0-9.]+)""))"),0.38)</f>
        <v>0.38</v>
      </c>
    </row>
    <row r="191">
      <c r="A191" s="1" t="s">
        <v>192</v>
      </c>
      <c r="B191" s="2">
        <f>IFERROR(__xludf.DUMMYFUNCTION("VALUE(REGEXEXTRACT(A191, ""Time ([0-9.]+)s""))"),9.45)</f>
        <v>9.45</v>
      </c>
      <c r="C191" s="2">
        <f>IFERROR(__xludf.DUMMYFUNCTION("VALUE(REGEXEXTRACT(A191, ""Contact Quotient: ([0-9.]+)""))"),0.38)</f>
        <v>0.38</v>
      </c>
    </row>
    <row r="192">
      <c r="A192" s="1" t="s">
        <v>193</v>
      </c>
      <c r="B192" s="2">
        <f>IFERROR(__xludf.DUMMYFUNCTION("VALUE(REGEXEXTRACT(A192, ""Time ([0-9.]+)s""))"),9.5)</f>
        <v>9.5</v>
      </c>
      <c r="C192" s="2">
        <f>IFERROR(__xludf.DUMMYFUNCTION("VALUE(REGEXEXTRACT(A192, ""Contact Quotient: ([0-9.]+)""))"),0.38)</f>
        <v>0.38</v>
      </c>
    </row>
    <row r="193">
      <c r="A193" s="1" t="s">
        <v>194</v>
      </c>
      <c r="B193" s="2">
        <f>IFERROR(__xludf.DUMMYFUNCTION("VALUE(REGEXEXTRACT(A193, ""Time ([0-9.]+)s""))"),9.55)</f>
        <v>9.55</v>
      </c>
      <c r="C193" s="2">
        <f>IFERROR(__xludf.DUMMYFUNCTION("VALUE(REGEXEXTRACT(A193, ""Contact Quotient: ([0-9.]+)""))"),0.38)</f>
        <v>0.38</v>
      </c>
    </row>
    <row r="194">
      <c r="A194" s="1" t="s">
        <v>195</v>
      </c>
      <c r="B194" s="2">
        <f>IFERROR(__xludf.DUMMYFUNCTION("VALUE(REGEXEXTRACT(A194, ""Time ([0-9.]+)s""))"),9.6)</f>
        <v>9.6</v>
      </c>
      <c r="C194" s="2">
        <f>IFERROR(__xludf.DUMMYFUNCTION("VALUE(REGEXEXTRACT(A194, ""Contact Quotient: ([0-9.]+)""))"),0.38)</f>
        <v>0.38</v>
      </c>
    </row>
    <row r="195">
      <c r="A195" s="1" t="s">
        <v>196</v>
      </c>
      <c r="B195" s="2">
        <f>IFERROR(__xludf.DUMMYFUNCTION("VALUE(REGEXEXTRACT(A195, ""Time ([0-9.]+)s""))"),9.65)</f>
        <v>9.65</v>
      </c>
      <c r="C195" s="2">
        <f>IFERROR(__xludf.DUMMYFUNCTION("VALUE(REGEXEXTRACT(A195, ""Contact Quotient: ([0-9.]+)""))"),0.38)</f>
        <v>0.38</v>
      </c>
    </row>
    <row r="196">
      <c r="A196" s="1" t="s">
        <v>197</v>
      </c>
      <c r="B196" s="2">
        <f>IFERROR(__xludf.DUMMYFUNCTION("VALUE(REGEXEXTRACT(A196, ""Time ([0-9.]+)s""))"),9.7)</f>
        <v>9.7</v>
      </c>
      <c r="C196" s="2">
        <f>IFERROR(__xludf.DUMMYFUNCTION("VALUE(REGEXEXTRACT(A196, ""Contact Quotient: ([0-9.]+)""))"),0.45)</f>
        <v>0.45</v>
      </c>
    </row>
    <row r="197">
      <c r="A197" s="1" t="s">
        <v>198</v>
      </c>
      <c r="B197" s="2">
        <f>IFERROR(__xludf.DUMMYFUNCTION("VALUE(REGEXEXTRACT(A197, ""Time ([0-9.]+)s""))"),9.75)</f>
        <v>9.75</v>
      </c>
      <c r="C197" s="2">
        <f>IFERROR(__xludf.DUMMYFUNCTION("VALUE(REGEXEXTRACT(A197, ""Contact Quotient: ([0-9.]+)""))"),0.37)</f>
        <v>0.37</v>
      </c>
    </row>
    <row r="198">
      <c r="A198" s="1" t="s">
        <v>199</v>
      </c>
      <c r="B198" s="2">
        <f>IFERROR(__xludf.DUMMYFUNCTION("VALUE(REGEXEXTRACT(A198, ""Time ([0-9.]+)s""))"),9.8)</f>
        <v>9.8</v>
      </c>
      <c r="C198" s="2">
        <f>IFERROR(__xludf.DUMMYFUNCTION("VALUE(REGEXEXTRACT(A198, ""Contact Quotient: ([0-9.]+)""))"),0.37)</f>
        <v>0.37</v>
      </c>
    </row>
    <row r="199">
      <c r="A199" s="1" t="s">
        <v>200</v>
      </c>
      <c r="B199" s="2">
        <f>IFERROR(__xludf.DUMMYFUNCTION("VALUE(REGEXEXTRACT(A199, ""Time ([0-9.]+)s""))"),9.85)</f>
        <v>9.85</v>
      </c>
      <c r="C199" s="2">
        <f>IFERROR(__xludf.DUMMYFUNCTION("VALUE(REGEXEXTRACT(A199, ""Contact Quotient: ([0-9.]+)""))"),0.37)</f>
        <v>0.37</v>
      </c>
    </row>
    <row r="200">
      <c r="A200" s="1" t="s">
        <v>201</v>
      </c>
      <c r="B200" s="2">
        <f>IFERROR(__xludf.DUMMYFUNCTION("VALUE(REGEXEXTRACT(A200, ""Time ([0-9.]+)s""))"),9.9)</f>
        <v>9.9</v>
      </c>
      <c r="C200" s="2">
        <f>IFERROR(__xludf.DUMMYFUNCTION("VALUE(REGEXEXTRACT(A200, ""Contact Quotient: ([0-9.]+)""))"),0.37)</f>
        <v>0.37</v>
      </c>
    </row>
    <row r="201">
      <c r="A201" s="1" t="s">
        <v>202</v>
      </c>
      <c r="B201" s="2">
        <f>IFERROR(__xludf.DUMMYFUNCTION("VALUE(REGEXEXTRACT(A201, ""Time ([0-9.]+)s""))"),9.95)</f>
        <v>9.95</v>
      </c>
      <c r="C201" s="2">
        <f>IFERROR(__xludf.DUMMYFUNCTION("VALUE(REGEXEXTRACT(A201, ""Contact Quotient: ([0-9.]+)""))"),0.37)</f>
        <v>0.37</v>
      </c>
    </row>
    <row r="202">
      <c r="A202" s="1" t="s">
        <v>203</v>
      </c>
      <c r="B202" s="2">
        <f>IFERROR(__xludf.DUMMYFUNCTION("VALUE(REGEXEXTRACT(A202, ""Time ([0-9.]+)s""))"),10.0)</f>
        <v>10</v>
      </c>
      <c r="C202" s="2">
        <f>IFERROR(__xludf.DUMMYFUNCTION("VALUE(REGEXEXTRACT(A202, ""Contact Quotient: ([0-9.]+)""))"),0.37)</f>
        <v>0.37</v>
      </c>
    </row>
    <row r="203">
      <c r="A203" s="1" t="s">
        <v>204</v>
      </c>
      <c r="B203" s="2">
        <f>IFERROR(__xludf.DUMMYFUNCTION("VALUE(REGEXEXTRACT(A203, ""Time ([0-9.]+)s""))"),10.05)</f>
        <v>10.05</v>
      </c>
      <c r="C203" s="2">
        <f>IFERROR(__xludf.DUMMYFUNCTION("VALUE(REGEXEXTRACT(A203, ""Contact Quotient: ([0-9.]+)""))"),0.37)</f>
        <v>0.37</v>
      </c>
    </row>
    <row r="204">
      <c r="A204" s="1" t="s">
        <v>205</v>
      </c>
      <c r="B204" s="2">
        <f>IFERROR(__xludf.DUMMYFUNCTION("VALUE(REGEXEXTRACT(A204, ""Time ([0-9.]+)s""))"),10.1)</f>
        <v>10.1</v>
      </c>
      <c r="C204" s="2">
        <f>IFERROR(__xludf.DUMMYFUNCTION("VALUE(REGEXEXTRACT(A204, ""Contact Quotient: ([0-9.]+)""))"),0.37)</f>
        <v>0.37</v>
      </c>
    </row>
    <row r="205">
      <c r="A205" s="1" t="s">
        <v>206</v>
      </c>
      <c r="B205" s="2">
        <f>IFERROR(__xludf.DUMMYFUNCTION("VALUE(REGEXEXTRACT(A205, ""Time ([0-9.]+)s""))"),10.15)</f>
        <v>10.15</v>
      </c>
      <c r="C205" s="2">
        <f>IFERROR(__xludf.DUMMYFUNCTION("VALUE(REGEXEXTRACT(A205, ""Contact Quotient: ([0-9.]+)""))"),0.37)</f>
        <v>0.37</v>
      </c>
    </row>
    <row r="206">
      <c r="A206" s="1" t="s">
        <v>207</v>
      </c>
      <c r="B206" s="2">
        <f>IFERROR(__xludf.DUMMYFUNCTION("VALUE(REGEXEXTRACT(A206, ""Time ([0-9.]+)s""))"),10.2)</f>
        <v>10.2</v>
      </c>
      <c r="C206" s="2">
        <f>IFERROR(__xludf.DUMMYFUNCTION("VALUE(REGEXEXTRACT(A206, ""Contact Quotient: ([0-9.]+)""))"),0.37)</f>
        <v>0.37</v>
      </c>
    </row>
    <row r="207">
      <c r="A207" s="1" t="s">
        <v>208</v>
      </c>
      <c r="B207" s="2">
        <f>IFERROR(__xludf.DUMMYFUNCTION("VALUE(REGEXEXTRACT(A207, ""Time ([0-9.]+)s""))"),10.25)</f>
        <v>10.25</v>
      </c>
      <c r="C207" s="2">
        <f>IFERROR(__xludf.DUMMYFUNCTION("VALUE(REGEXEXTRACT(A207, ""Contact Quotient: ([0-9.]+)""))"),0.37)</f>
        <v>0.37</v>
      </c>
    </row>
    <row r="208">
      <c r="A208" s="1" t="s">
        <v>209</v>
      </c>
      <c r="B208" s="2">
        <f>IFERROR(__xludf.DUMMYFUNCTION("VALUE(REGEXEXTRACT(A208, ""Time ([0-9.]+)s""))"),10.3)</f>
        <v>10.3</v>
      </c>
      <c r="C208" s="2">
        <f>IFERROR(__xludf.DUMMYFUNCTION("VALUE(REGEXEXTRACT(A208, ""Contact Quotient: ([0-9.]+)""))"),0.37)</f>
        <v>0.37</v>
      </c>
    </row>
    <row r="209">
      <c r="A209" s="1" t="s">
        <v>210</v>
      </c>
      <c r="B209" s="2">
        <f>IFERROR(__xludf.DUMMYFUNCTION("VALUE(REGEXEXTRACT(A209, ""Time ([0-9.]+)s""))"),10.35)</f>
        <v>10.35</v>
      </c>
      <c r="C209" s="2">
        <f>IFERROR(__xludf.DUMMYFUNCTION("VALUE(REGEXEXTRACT(A209, ""Contact Quotient: ([0-9.]+)""))"),0.37)</f>
        <v>0.37</v>
      </c>
    </row>
    <row r="210">
      <c r="A210" s="1" t="s">
        <v>211</v>
      </c>
      <c r="B210" s="2">
        <f>IFERROR(__xludf.DUMMYFUNCTION("VALUE(REGEXEXTRACT(A210, ""Time ([0-9.]+)s""))"),10.4)</f>
        <v>10.4</v>
      </c>
      <c r="C210" s="2">
        <f>IFERROR(__xludf.DUMMYFUNCTION("VALUE(REGEXEXTRACT(A210, ""Contact Quotient: ([0-9.]+)""))"),0.37)</f>
        <v>0.37</v>
      </c>
    </row>
    <row r="211">
      <c r="A211" s="1" t="s">
        <v>212</v>
      </c>
      <c r="B211" s="2">
        <f>IFERROR(__xludf.DUMMYFUNCTION("VALUE(REGEXEXTRACT(A211, ""Time ([0-9.]+)s""))"),10.45)</f>
        <v>10.45</v>
      </c>
      <c r="C211" s="2">
        <f>IFERROR(__xludf.DUMMYFUNCTION("VALUE(REGEXEXTRACT(A211, ""Contact Quotient: ([0-9.]+)""))"),0.37)</f>
        <v>0.37</v>
      </c>
    </row>
    <row r="212">
      <c r="A212" s="1" t="s">
        <v>213</v>
      </c>
      <c r="B212" s="2">
        <f>IFERROR(__xludf.DUMMYFUNCTION("VALUE(REGEXEXTRACT(A212, ""Time ([0-9.]+)s""))"),10.5)</f>
        <v>10.5</v>
      </c>
      <c r="C212" s="2">
        <f>IFERROR(__xludf.DUMMYFUNCTION("VALUE(REGEXEXTRACT(A212, ""Contact Quotient: ([0-9.]+)""))"),0.37)</f>
        <v>0.37</v>
      </c>
    </row>
    <row r="213">
      <c r="A213" s="1" t="s">
        <v>214</v>
      </c>
      <c r="B213" s="2">
        <f>IFERROR(__xludf.DUMMYFUNCTION("VALUE(REGEXEXTRACT(A213, ""Time ([0-9.]+)s""))"),10.55)</f>
        <v>10.55</v>
      </c>
      <c r="C213" s="2">
        <f>IFERROR(__xludf.DUMMYFUNCTION("VALUE(REGEXEXTRACT(A213, ""Contact Quotient: ([0-9.]+)""))"),0.37)</f>
        <v>0.37</v>
      </c>
    </row>
    <row r="214">
      <c r="A214" s="1" t="s">
        <v>215</v>
      </c>
      <c r="B214" s="2">
        <f>IFERROR(__xludf.DUMMYFUNCTION("VALUE(REGEXEXTRACT(A214, ""Time ([0-9.]+)s""))"),10.6)</f>
        <v>10.6</v>
      </c>
      <c r="C214" s="2">
        <f>IFERROR(__xludf.DUMMYFUNCTION("VALUE(REGEXEXTRACT(A214, ""Contact Quotient: ([0-9.]+)""))"),0.37)</f>
        <v>0.37</v>
      </c>
    </row>
    <row r="215">
      <c r="A215" s="1" t="s">
        <v>216</v>
      </c>
      <c r="B215" s="2">
        <f>IFERROR(__xludf.DUMMYFUNCTION("VALUE(REGEXEXTRACT(A215, ""Time ([0-9.]+)s""))"),10.65)</f>
        <v>10.65</v>
      </c>
      <c r="C215" s="2">
        <f>IFERROR(__xludf.DUMMYFUNCTION("VALUE(REGEXEXTRACT(A215, ""Contact Quotient: ([0-9.]+)""))"),0.37)</f>
        <v>0.37</v>
      </c>
    </row>
    <row r="216">
      <c r="A216" s="1" t="s">
        <v>217</v>
      </c>
      <c r="B216" s="2">
        <f>IFERROR(__xludf.DUMMYFUNCTION("VALUE(REGEXEXTRACT(A216, ""Time ([0-9.]+)s""))"),10.7)</f>
        <v>10.7</v>
      </c>
      <c r="C216" s="2">
        <f>IFERROR(__xludf.DUMMYFUNCTION("VALUE(REGEXEXTRACT(A216, ""Contact Quotient: ([0-9.]+)""))"),0.37)</f>
        <v>0.37</v>
      </c>
    </row>
    <row r="217">
      <c r="A217" s="1" t="s">
        <v>218</v>
      </c>
      <c r="B217" s="2">
        <f>IFERROR(__xludf.DUMMYFUNCTION("VALUE(REGEXEXTRACT(A217, ""Time ([0-9.]+)s""))"),10.75)</f>
        <v>10.75</v>
      </c>
      <c r="C217" s="2">
        <f>IFERROR(__xludf.DUMMYFUNCTION("VALUE(REGEXEXTRACT(A217, ""Contact Quotient: ([0-9.]+)""))"),0.37)</f>
        <v>0.37</v>
      </c>
    </row>
    <row r="218">
      <c r="A218" s="1" t="s">
        <v>219</v>
      </c>
      <c r="B218" s="2">
        <f>IFERROR(__xludf.DUMMYFUNCTION("VALUE(REGEXEXTRACT(A218, ""Time ([0-9.]+)s""))"),10.8)</f>
        <v>10.8</v>
      </c>
      <c r="C218" s="2">
        <f>IFERROR(__xludf.DUMMYFUNCTION("VALUE(REGEXEXTRACT(A218, ""Contact Quotient: ([0-9.]+)""))"),0.37)</f>
        <v>0.37</v>
      </c>
    </row>
    <row r="219">
      <c r="A219" s="1" t="s">
        <v>220</v>
      </c>
      <c r="B219" s="2">
        <f>IFERROR(__xludf.DUMMYFUNCTION("VALUE(REGEXEXTRACT(A219, ""Time ([0-9.]+)s""))"),10.85)</f>
        <v>10.85</v>
      </c>
      <c r="C219" s="2">
        <f>IFERROR(__xludf.DUMMYFUNCTION("VALUE(REGEXEXTRACT(A219, ""Contact Quotient: ([0-9.]+)""))"),0.37)</f>
        <v>0.37</v>
      </c>
    </row>
    <row r="220">
      <c r="A220" s="1" t="s">
        <v>221</v>
      </c>
      <c r="B220" s="2">
        <f>IFERROR(__xludf.DUMMYFUNCTION("VALUE(REGEXEXTRACT(A220, ""Time ([0-9.]+)s""))"),10.9)</f>
        <v>10.9</v>
      </c>
      <c r="C220" s="2">
        <f>IFERROR(__xludf.DUMMYFUNCTION("VALUE(REGEXEXTRACT(A220, ""Contact Quotient: ([0-9.]+)""))"),0.37)</f>
        <v>0.37</v>
      </c>
    </row>
    <row r="221">
      <c r="A221" s="1" t="s">
        <v>222</v>
      </c>
      <c r="B221" s="2">
        <f>IFERROR(__xludf.DUMMYFUNCTION("VALUE(REGEXEXTRACT(A221, ""Time ([0-9.]+)s""))"),10.95)</f>
        <v>10.95</v>
      </c>
      <c r="C221" s="2">
        <f>IFERROR(__xludf.DUMMYFUNCTION("VALUE(REGEXEXTRACT(A221, ""Contact Quotient: ([0-9.]+)""))"),0.37)</f>
        <v>0.37</v>
      </c>
    </row>
    <row r="222">
      <c r="A222" s="1" t="s">
        <v>223</v>
      </c>
      <c r="B222" s="2">
        <f>IFERROR(__xludf.DUMMYFUNCTION("VALUE(REGEXEXTRACT(A222, ""Time ([0-9.]+)s""))"),11.0)</f>
        <v>11</v>
      </c>
      <c r="C222" s="2">
        <f>IFERROR(__xludf.DUMMYFUNCTION("VALUE(REGEXEXTRACT(A222, ""Contact Quotient: ([0-9.]+)""))"),0.37)</f>
        <v>0.37</v>
      </c>
    </row>
    <row r="223">
      <c r="A223" s="1" t="s">
        <v>224</v>
      </c>
      <c r="B223" s="2">
        <f>IFERROR(__xludf.DUMMYFUNCTION("VALUE(REGEXEXTRACT(A223, ""Time ([0-9.]+)s""))"),11.05)</f>
        <v>11.05</v>
      </c>
      <c r="C223" s="2">
        <f>IFERROR(__xludf.DUMMYFUNCTION("VALUE(REGEXEXTRACT(A223, ""Contact Quotient: ([0-9.]+)""))"),0.37)</f>
        <v>0.37</v>
      </c>
    </row>
    <row r="224">
      <c r="A224" s="1" t="s">
        <v>225</v>
      </c>
      <c r="B224" s="2">
        <f>IFERROR(__xludf.DUMMYFUNCTION("VALUE(REGEXEXTRACT(A224, ""Time ([0-9.]+)s""))"),11.1)</f>
        <v>11.1</v>
      </c>
      <c r="C224" s="2">
        <f>IFERROR(__xludf.DUMMYFUNCTION("VALUE(REGEXEXTRACT(A224, ""Contact Quotient: ([0-9.]+)""))"),0.37)</f>
        <v>0.37</v>
      </c>
    </row>
    <row r="225">
      <c r="A225" s="1" t="s">
        <v>226</v>
      </c>
      <c r="B225" s="2">
        <f>IFERROR(__xludf.DUMMYFUNCTION("VALUE(REGEXEXTRACT(A225, ""Time ([0-9.]+)s""))"),11.15)</f>
        <v>11.15</v>
      </c>
      <c r="C225" s="2">
        <f>IFERROR(__xludf.DUMMYFUNCTION("VALUE(REGEXEXTRACT(A225, ""Contact Quotient: ([0-9.]+)""))"),0.37)</f>
        <v>0.37</v>
      </c>
    </row>
    <row r="226">
      <c r="A226" s="1" t="s">
        <v>227</v>
      </c>
      <c r="B226" s="2">
        <f>IFERROR(__xludf.DUMMYFUNCTION("VALUE(REGEXEXTRACT(A226, ""Time ([0-9.]+)s""))"),11.2)</f>
        <v>11.2</v>
      </c>
      <c r="C226" s="2">
        <f>IFERROR(__xludf.DUMMYFUNCTION("VALUE(REGEXEXTRACT(A226, ""Contact Quotient: ([0-9.]+)""))"),0.37)</f>
        <v>0.37</v>
      </c>
    </row>
    <row r="227">
      <c r="A227" s="1" t="s">
        <v>228</v>
      </c>
      <c r="B227" s="2">
        <f>IFERROR(__xludf.DUMMYFUNCTION("VALUE(REGEXEXTRACT(A227, ""Time ([0-9.]+)s""))"),11.25)</f>
        <v>11.25</v>
      </c>
      <c r="C227" s="2">
        <f>IFERROR(__xludf.DUMMYFUNCTION("VALUE(REGEXEXTRACT(A227, ""Contact Quotient: ([0-9.]+)""))"),0.37)</f>
        <v>0.37</v>
      </c>
    </row>
    <row r="228">
      <c r="A228" s="1" t="s">
        <v>229</v>
      </c>
      <c r="B228" s="2">
        <f>IFERROR(__xludf.DUMMYFUNCTION("VALUE(REGEXEXTRACT(A228, ""Time ([0-9.]+)s""))"),11.3)</f>
        <v>11.3</v>
      </c>
      <c r="C228" s="2">
        <f>IFERROR(__xludf.DUMMYFUNCTION("VALUE(REGEXEXTRACT(A228, ""Contact Quotient: ([0-9.]+)""))"),0.37)</f>
        <v>0.37</v>
      </c>
    </row>
    <row r="229">
      <c r="A229" s="1" t="s">
        <v>230</v>
      </c>
      <c r="B229" s="2">
        <f>IFERROR(__xludf.DUMMYFUNCTION("VALUE(REGEXEXTRACT(A229, ""Time ([0-9.]+)s""))"),11.35)</f>
        <v>11.35</v>
      </c>
      <c r="C229" s="2">
        <f>IFERROR(__xludf.DUMMYFUNCTION("VALUE(REGEXEXTRACT(A229, ""Contact Quotient: ([0-9.]+)""))"),0.37)</f>
        <v>0.37</v>
      </c>
    </row>
    <row r="230">
      <c r="A230" s="1" t="s">
        <v>231</v>
      </c>
      <c r="B230" s="2">
        <f>IFERROR(__xludf.DUMMYFUNCTION("VALUE(REGEXEXTRACT(A230, ""Time ([0-9.]+)s""))"),11.4)</f>
        <v>11.4</v>
      </c>
      <c r="C230" s="2">
        <f>IFERROR(__xludf.DUMMYFUNCTION("VALUE(REGEXEXTRACT(A230, ""Contact Quotient: ([0-9.]+)""))"),0.37)</f>
        <v>0.37</v>
      </c>
    </row>
    <row r="231">
      <c r="A231" s="1" t="s">
        <v>232</v>
      </c>
      <c r="B231" s="2">
        <f>IFERROR(__xludf.DUMMYFUNCTION("VALUE(REGEXEXTRACT(A231, ""Time ([0-9.]+)s""))"),11.45)</f>
        <v>11.45</v>
      </c>
      <c r="C231" s="2">
        <f>IFERROR(__xludf.DUMMYFUNCTION("VALUE(REGEXEXTRACT(A231, ""Contact Quotient: ([0-9.]+)""))"),0.37)</f>
        <v>0.37</v>
      </c>
    </row>
    <row r="232">
      <c r="A232" s="1" t="s">
        <v>233</v>
      </c>
      <c r="B232" s="2">
        <f>IFERROR(__xludf.DUMMYFUNCTION("VALUE(REGEXEXTRACT(A232, ""Time ([0-9.]+)s""))"),11.5)</f>
        <v>11.5</v>
      </c>
      <c r="C232" s="2">
        <f>IFERROR(__xludf.DUMMYFUNCTION("VALUE(REGEXEXTRACT(A232, ""Contact Quotient: ([0-9.]+)""))"),0.37)</f>
        <v>0.37</v>
      </c>
    </row>
    <row r="233">
      <c r="A233" s="1" t="s">
        <v>234</v>
      </c>
      <c r="B233" s="2">
        <f>IFERROR(__xludf.DUMMYFUNCTION("VALUE(REGEXEXTRACT(A233, ""Time ([0-9.]+)s""))"),11.55)</f>
        <v>11.55</v>
      </c>
      <c r="C233" s="2">
        <f>IFERROR(__xludf.DUMMYFUNCTION("VALUE(REGEXEXTRACT(A233, ""Contact Quotient: ([0-9.]+)""))"),0.37)</f>
        <v>0.37</v>
      </c>
    </row>
    <row r="234">
      <c r="A234" s="1" t="s">
        <v>235</v>
      </c>
      <c r="B234" s="2">
        <f>IFERROR(__xludf.DUMMYFUNCTION("VALUE(REGEXEXTRACT(A234, ""Time ([0-9.]+)s""))"),11.6)</f>
        <v>11.6</v>
      </c>
      <c r="C234" s="2">
        <f>IFERROR(__xludf.DUMMYFUNCTION("VALUE(REGEXEXTRACT(A234, ""Contact Quotient: ([0-9.]+)""))"),0.37)</f>
        <v>0.37</v>
      </c>
    </row>
    <row r="235">
      <c r="A235" s="1" t="s">
        <v>236</v>
      </c>
      <c r="B235" s="2">
        <f>IFERROR(__xludf.DUMMYFUNCTION("VALUE(REGEXEXTRACT(A235, ""Time ([0-9.]+)s""))"),11.65)</f>
        <v>11.65</v>
      </c>
      <c r="C235" s="2">
        <f>IFERROR(__xludf.DUMMYFUNCTION("VALUE(REGEXEXTRACT(A235, ""Contact Quotient: ([0-9.]+)""))"),0.37)</f>
        <v>0.37</v>
      </c>
    </row>
    <row r="236">
      <c r="A236" s="1" t="s">
        <v>237</v>
      </c>
      <c r="B236" s="2">
        <f>IFERROR(__xludf.DUMMYFUNCTION("VALUE(REGEXEXTRACT(A236, ""Time ([0-9.]+)s""))"),11.7)</f>
        <v>11.7</v>
      </c>
      <c r="C236" s="2">
        <f>IFERROR(__xludf.DUMMYFUNCTION("VALUE(REGEXEXTRACT(A236, ""Contact Quotient: ([0-9.]+)""))"),0.37)</f>
        <v>0.37</v>
      </c>
    </row>
    <row r="237">
      <c r="A237" s="1" t="s">
        <v>238</v>
      </c>
      <c r="B237" s="2">
        <f>IFERROR(__xludf.DUMMYFUNCTION("VALUE(REGEXEXTRACT(A237, ""Time ([0-9.]+)s""))"),11.75)</f>
        <v>11.75</v>
      </c>
      <c r="C237" s="2">
        <f>IFERROR(__xludf.DUMMYFUNCTION("VALUE(REGEXEXTRACT(A237, ""Contact Quotient: ([0-9.]+)""))"),0.37)</f>
        <v>0.37</v>
      </c>
    </row>
    <row r="238">
      <c r="A238" s="1" t="s">
        <v>239</v>
      </c>
      <c r="B238" s="2">
        <f>IFERROR(__xludf.DUMMYFUNCTION("VALUE(REGEXEXTRACT(A238, ""Time ([0-9.]+)s""))"),11.8)</f>
        <v>11.8</v>
      </c>
      <c r="C238" s="2">
        <f>IFERROR(__xludf.DUMMYFUNCTION("VALUE(REGEXEXTRACT(A238, ""Contact Quotient: ([0-9.]+)""))"),0.37)</f>
        <v>0.37</v>
      </c>
    </row>
    <row r="239">
      <c r="A239" s="1" t="s">
        <v>240</v>
      </c>
      <c r="B239" s="2">
        <f>IFERROR(__xludf.DUMMYFUNCTION("VALUE(REGEXEXTRACT(A239, ""Time ([0-9.]+)s""))"),11.85)</f>
        <v>11.85</v>
      </c>
      <c r="C239" s="2">
        <f>IFERROR(__xludf.DUMMYFUNCTION("VALUE(REGEXEXTRACT(A239, ""Contact Quotient: ([0-9.]+)""))"),0.37)</f>
        <v>0.37</v>
      </c>
    </row>
    <row r="240">
      <c r="A240" s="1" t="s">
        <v>241</v>
      </c>
      <c r="B240" s="2">
        <f>IFERROR(__xludf.DUMMYFUNCTION("VALUE(REGEXEXTRACT(A240, ""Time ([0-9.]+)s""))"),11.9)</f>
        <v>11.9</v>
      </c>
      <c r="C240" s="2">
        <f>IFERROR(__xludf.DUMMYFUNCTION("VALUE(REGEXEXTRACT(A240, ""Contact Quotient: ([0-9.]+)""))"),0.37)</f>
        <v>0.37</v>
      </c>
    </row>
    <row r="241">
      <c r="A241" s="1" t="s">
        <v>242</v>
      </c>
      <c r="B241" s="2">
        <f>IFERROR(__xludf.DUMMYFUNCTION("VALUE(REGEXEXTRACT(A241, ""Time ([0-9.]+)s""))"),11.95)</f>
        <v>11.95</v>
      </c>
      <c r="C241" s="2">
        <f>IFERROR(__xludf.DUMMYFUNCTION("VALUE(REGEXEXTRACT(A241, ""Contact Quotient: ([0-9.]+)""))"),0.33)</f>
        <v>0.33</v>
      </c>
    </row>
    <row r="242">
      <c r="A242" s="1" t="s">
        <v>243</v>
      </c>
      <c r="B242" s="2">
        <f>IFERROR(__xludf.DUMMYFUNCTION("VALUE(REGEXEXTRACT(A242, ""Time ([0-9.]+)s""))"),12.0)</f>
        <v>12</v>
      </c>
      <c r="C242" s="2">
        <f>IFERROR(__xludf.DUMMYFUNCTION("VALUE(REGEXEXTRACT(A242, ""Contact Quotient: ([0-9.]+)""))"),0.33)</f>
        <v>0.33</v>
      </c>
    </row>
    <row r="243">
      <c r="A243" s="1" t="s">
        <v>244</v>
      </c>
      <c r="B243" s="2">
        <f>IFERROR(__xludf.DUMMYFUNCTION("VALUE(REGEXEXTRACT(A243, ""Time ([0-9.]+)s""))"),12.05)</f>
        <v>12.05</v>
      </c>
      <c r="C243" s="2">
        <f>IFERROR(__xludf.DUMMYFUNCTION("VALUE(REGEXEXTRACT(A243, ""Contact Quotient: ([0-9.]+)""))"),0.34)</f>
        <v>0.34</v>
      </c>
    </row>
    <row r="244">
      <c r="A244" s="1" t="s">
        <v>245</v>
      </c>
      <c r="B244" s="2">
        <f>IFERROR(__xludf.DUMMYFUNCTION("VALUE(REGEXEXTRACT(A244, ""Time ([0-9.]+)s""))"),12.1)</f>
        <v>12.1</v>
      </c>
      <c r="C244" s="2">
        <f>IFERROR(__xludf.DUMMYFUNCTION("VALUE(REGEXEXTRACT(A244, ""Contact Quotient: ([0-9.]+)""))"),0.33)</f>
        <v>0.33</v>
      </c>
    </row>
    <row r="245">
      <c r="A245" s="1" t="s">
        <v>246</v>
      </c>
      <c r="B245" s="2">
        <f>IFERROR(__xludf.DUMMYFUNCTION("VALUE(REGEXEXTRACT(A245, ""Time ([0-9.]+)s""))"),12.15)</f>
        <v>12.15</v>
      </c>
      <c r="C245" s="2">
        <f>IFERROR(__xludf.DUMMYFUNCTION("VALUE(REGEXEXTRACT(A245, ""Contact Quotient: ([0-9.]+)""))"),0.32)</f>
        <v>0.32</v>
      </c>
    </row>
    <row r="246">
      <c r="A246" s="1" t="s">
        <v>247</v>
      </c>
      <c r="B246" s="2">
        <f>IFERROR(__xludf.DUMMYFUNCTION("VALUE(REGEXEXTRACT(A246, ""Time ([0-9.]+)s""))"),12.2)</f>
        <v>12.2</v>
      </c>
      <c r="C246" s="2">
        <f>IFERROR(__xludf.DUMMYFUNCTION("VALUE(REGEXEXTRACT(A246, ""Contact Quotient: ([0-9.]+)""))"),0.31)</f>
        <v>0.31</v>
      </c>
    </row>
    <row r="247">
      <c r="A247" s="1" t="s">
        <v>248</v>
      </c>
      <c r="B247" s="2">
        <f>IFERROR(__xludf.DUMMYFUNCTION("VALUE(REGEXEXTRACT(A247, ""Time ([0-9.]+)s""))"),12.25)</f>
        <v>12.25</v>
      </c>
      <c r="C247" s="2">
        <f>IFERROR(__xludf.DUMMYFUNCTION("VALUE(REGEXEXTRACT(A247, ""Contact Quotient: ([0-9.]+)""))"),0.31)</f>
        <v>0.31</v>
      </c>
    </row>
    <row r="248">
      <c r="A248" s="1" t="s">
        <v>249</v>
      </c>
      <c r="B248" s="2">
        <f>IFERROR(__xludf.DUMMYFUNCTION("VALUE(REGEXEXTRACT(A248, ""Time ([0-9.]+)s""))"),12.3)</f>
        <v>12.3</v>
      </c>
      <c r="C248" s="2">
        <f>IFERROR(__xludf.DUMMYFUNCTION("VALUE(REGEXEXTRACT(A248, ""Contact Quotient: ([0-9.]+)""))"),0.35)</f>
        <v>0.35</v>
      </c>
    </row>
    <row r="249">
      <c r="A249" s="1" t="s">
        <v>250</v>
      </c>
      <c r="B249" s="2">
        <f>IFERROR(__xludf.DUMMYFUNCTION("VALUE(REGEXEXTRACT(A249, ""Time ([0-9.]+)s""))"),12.35)</f>
        <v>12.35</v>
      </c>
      <c r="C249" s="2">
        <f>IFERROR(__xludf.DUMMYFUNCTION("VALUE(REGEXEXTRACT(A249, ""Contact Quotient: ([0-9.]+)""))"),0.33)</f>
        <v>0.33</v>
      </c>
    </row>
    <row r="250">
      <c r="A250" s="1" t="s">
        <v>251</v>
      </c>
      <c r="B250" s="2">
        <f>IFERROR(__xludf.DUMMYFUNCTION("VALUE(REGEXEXTRACT(A250, ""Time ([0-9.]+)s""))"),12.4)</f>
        <v>12.4</v>
      </c>
      <c r="C250" s="2">
        <f>IFERROR(__xludf.DUMMYFUNCTION("VALUE(REGEXEXTRACT(A250, ""Contact Quotient: ([0-9.]+)""))"),0.31)</f>
        <v>0.31</v>
      </c>
    </row>
    <row r="251">
      <c r="A251" s="1" t="s">
        <v>252</v>
      </c>
      <c r="B251" s="2">
        <f>IFERROR(__xludf.DUMMYFUNCTION("VALUE(REGEXEXTRACT(A251, ""Time ([0-9.]+)s""))"),12.45)</f>
        <v>12.45</v>
      </c>
      <c r="C251" s="2">
        <f>IFERROR(__xludf.DUMMYFUNCTION("VALUE(REGEXEXTRACT(A251, ""Contact Quotient: ([0-9.]+)""))"),0.29)</f>
        <v>0.29</v>
      </c>
    </row>
    <row r="252">
      <c r="A252" s="1" t="s">
        <v>253</v>
      </c>
      <c r="B252" s="2">
        <f>IFERROR(__xludf.DUMMYFUNCTION("VALUE(REGEXEXTRACT(A252, ""Time ([0-9.]+)s""))"),12.5)</f>
        <v>12.5</v>
      </c>
      <c r="C252" s="2">
        <f>IFERROR(__xludf.DUMMYFUNCTION("VALUE(REGEXEXTRACT(A252, ""Contact Quotient: ([0-9.]+)""))"),0.33)</f>
        <v>0.33</v>
      </c>
    </row>
    <row r="253">
      <c r="A253" s="1" t="s">
        <v>254</v>
      </c>
      <c r="B253" s="2">
        <f>IFERROR(__xludf.DUMMYFUNCTION("VALUE(REGEXEXTRACT(A253, ""Time ([0-9.]+)s""))"),12.55)</f>
        <v>12.55</v>
      </c>
      <c r="C253" s="2">
        <f>IFERROR(__xludf.DUMMYFUNCTION("VALUE(REGEXEXTRACT(A253, ""Contact Quotient: ([0-9.]+)""))"),0.36)</f>
        <v>0.36</v>
      </c>
    </row>
    <row r="254">
      <c r="A254" s="1" t="s">
        <v>255</v>
      </c>
      <c r="B254" s="2">
        <f>IFERROR(__xludf.DUMMYFUNCTION("VALUE(REGEXEXTRACT(A254, ""Time ([0-9.]+)s""))"),12.6)</f>
        <v>12.6</v>
      </c>
      <c r="C254" s="2">
        <f>IFERROR(__xludf.DUMMYFUNCTION("VALUE(REGEXEXTRACT(A254, ""Contact Quotient: ([0-9.]+)""))"),0.36)</f>
        <v>0.36</v>
      </c>
    </row>
    <row r="255">
      <c r="A255" s="1" t="s">
        <v>256</v>
      </c>
      <c r="B255" s="2">
        <f>IFERROR(__xludf.DUMMYFUNCTION("VALUE(REGEXEXTRACT(A255, ""Time ([0-9.]+)s""))"),12.65)</f>
        <v>12.65</v>
      </c>
      <c r="C255" s="2">
        <f>IFERROR(__xludf.DUMMYFUNCTION("VALUE(REGEXEXTRACT(A255, ""Contact Quotient: ([0-9.]+)""))"),0.36)</f>
        <v>0.36</v>
      </c>
    </row>
    <row r="256">
      <c r="A256" s="1" t="s">
        <v>257</v>
      </c>
      <c r="B256" s="2">
        <f>IFERROR(__xludf.DUMMYFUNCTION("VALUE(REGEXEXTRACT(A256, ""Time ([0-9.]+)s""))"),12.7)</f>
        <v>12.7</v>
      </c>
      <c r="C256" s="2">
        <f>IFERROR(__xludf.DUMMYFUNCTION("VALUE(REGEXEXTRACT(A256, ""Contact Quotient: ([0-9.]+)""))"),0.36)</f>
        <v>0.36</v>
      </c>
    </row>
    <row r="257">
      <c r="A257" s="1" t="s">
        <v>258</v>
      </c>
      <c r="B257" s="2">
        <f>IFERROR(__xludf.DUMMYFUNCTION("VALUE(REGEXEXTRACT(A257, ""Time ([0-9.]+)s""))"),12.75)</f>
        <v>12.75</v>
      </c>
      <c r="C257" s="2">
        <f>IFERROR(__xludf.DUMMYFUNCTION("VALUE(REGEXEXTRACT(A257, ""Contact Quotient: ([0-9.]+)""))"),0.33)</f>
        <v>0.33</v>
      </c>
    </row>
    <row r="258">
      <c r="A258" s="1" t="s">
        <v>259</v>
      </c>
      <c r="B258" s="2">
        <f>IFERROR(__xludf.DUMMYFUNCTION("VALUE(REGEXEXTRACT(A258, ""Time ([0-9.]+)s""))"),12.8)</f>
        <v>12.8</v>
      </c>
      <c r="C258" s="2">
        <f>IFERROR(__xludf.DUMMYFUNCTION("VALUE(REGEXEXTRACT(A258, ""Contact Quotient: ([0-9.]+)""))"),0.24)</f>
        <v>0.24</v>
      </c>
    </row>
    <row r="259">
      <c r="A259" s="1" t="s">
        <v>260</v>
      </c>
      <c r="B259" s="2">
        <f>IFERROR(__xludf.DUMMYFUNCTION("VALUE(REGEXEXTRACT(A259, ""Time ([0-9.]+)s""))"),12.85)</f>
        <v>12.85</v>
      </c>
      <c r="C259" s="2">
        <f>IFERROR(__xludf.DUMMYFUNCTION("VALUE(REGEXEXTRACT(A259, ""Contact Quotient: ([0-9.]+)""))"),0.0)</f>
        <v>0</v>
      </c>
    </row>
    <row r="260">
      <c r="A260" s="1" t="s">
        <v>261</v>
      </c>
      <c r="B260" s="2">
        <f>IFERROR(__xludf.DUMMYFUNCTION("VALUE(REGEXEXTRACT(A260, ""Time ([0-9.]+)s""))"),12.9)</f>
        <v>12.9</v>
      </c>
      <c r="C260" s="2">
        <f>IFERROR(__xludf.DUMMYFUNCTION("VALUE(REGEXEXTRACT(A260, ""Contact Quotient: ([0-9.]+)""))"),0.0)</f>
        <v>0</v>
      </c>
    </row>
    <row r="261">
      <c r="A261" s="1" t="s">
        <v>262</v>
      </c>
      <c r="B261" s="2">
        <f>IFERROR(__xludf.DUMMYFUNCTION("VALUE(REGEXEXTRACT(A261, ""Time ([0-9.]+)s""))"),12.95)</f>
        <v>12.95</v>
      </c>
      <c r="C261" s="2">
        <f>IFERROR(__xludf.DUMMYFUNCTION("VALUE(REGEXEXTRACT(A261, ""Contact Quotient: ([0-9.]+)""))"),0.0)</f>
        <v>0</v>
      </c>
    </row>
    <row r="262">
      <c r="A262" s="1" t="s">
        <v>263</v>
      </c>
      <c r="B262" s="2">
        <f>IFERROR(__xludf.DUMMYFUNCTION("VALUE(REGEXEXTRACT(A262, ""Time ([0-9.]+)s""))"),13.0)</f>
        <v>13</v>
      </c>
      <c r="C262" s="2">
        <f>IFERROR(__xludf.DUMMYFUNCTION("VALUE(REGEXEXTRACT(A262, ""Contact Quotient: ([0-9.]+)""))"),0.0)</f>
        <v>0</v>
      </c>
    </row>
    <row r="263">
      <c r="A263" s="1" t="s">
        <v>264</v>
      </c>
      <c r="B263" s="2">
        <f>IFERROR(__xludf.DUMMYFUNCTION("VALUE(REGEXEXTRACT(A263, ""Time ([0-9.]+)s""))"),13.05)</f>
        <v>13.05</v>
      </c>
      <c r="C263" s="2">
        <f>IFERROR(__xludf.DUMMYFUNCTION("VALUE(REGEXEXTRACT(A263, ""Contact Quotient: ([0-9.]+)""))"),0.0)</f>
        <v>0</v>
      </c>
    </row>
    <row r="264">
      <c r="A264" s="1" t="s">
        <v>265</v>
      </c>
      <c r="B264" s="2">
        <f>IFERROR(__xludf.DUMMYFUNCTION("VALUE(REGEXEXTRACT(A264, ""Time ([0-9.]+)s""))"),13.1)</f>
        <v>13.1</v>
      </c>
      <c r="C264" s="2">
        <f>IFERROR(__xludf.DUMMYFUNCTION("VALUE(REGEXEXTRACT(A264, ""Contact Quotient: ([0-9.]+)""))"),0.0)</f>
        <v>0</v>
      </c>
    </row>
    <row r="265">
      <c r="A265" s="1" t="s">
        <v>266</v>
      </c>
      <c r="B265" s="2">
        <f>IFERROR(__xludf.DUMMYFUNCTION("VALUE(REGEXEXTRACT(A265, ""Time ([0-9.]+)s""))"),13.15)</f>
        <v>13.15</v>
      </c>
      <c r="C265" s="2">
        <f>IFERROR(__xludf.DUMMYFUNCTION("VALUE(REGEXEXTRACT(A265, ""Contact Quotient: ([0-9.]+)""))"),0.0)</f>
        <v>0</v>
      </c>
    </row>
    <row r="266">
      <c r="A266" s="1" t="s">
        <v>267</v>
      </c>
      <c r="B266" s="2">
        <f>IFERROR(__xludf.DUMMYFUNCTION("VALUE(REGEXEXTRACT(A266, ""Time ([0-9.]+)s""))"),13.2)</f>
        <v>13.2</v>
      </c>
      <c r="C266" s="2">
        <f>IFERROR(__xludf.DUMMYFUNCTION("VALUE(REGEXEXTRACT(A266, ""Contact Quotient: ([0-9.]+)""))"),0.0)</f>
        <v>0</v>
      </c>
    </row>
    <row r="267">
      <c r="A267" s="1" t="s">
        <v>268</v>
      </c>
      <c r="B267" s="2">
        <f>IFERROR(__xludf.DUMMYFUNCTION("VALUE(REGEXEXTRACT(A267, ""Time ([0-9.]+)s""))"),13.25)</f>
        <v>13.25</v>
      </c>
      <c r="C267" s="2">
        <f>IFERROR(__xludf.DUMMYFUNCTION("VALUE(REGEXEXTRACT(A267, ""Contact Quotient: ([0-9.]+)""))"),0.0)</f>
        <v>0</v>
      </c>
    </row>
    <row r="268">
      <c r="A268" s="1" t="s">
        <v>269</v>
      </c>
      <c r="B268" s="2">
        <f>IFERROR(__xludf.DUMMYFUNCTION("VALUE(REGEXEXTRACT(A268, ""Time ([0-9.]+)s""))"),13.3)</f>
        <v>13.3</v>
      </c>
      <c r="C268" s="2">
        <f>IFERROR(__xludf.DUMMYFUNCTION("VALUE(REGEXEXTRACT(A268, ""Contact Quotient: ([0-9.]+)""))"),0.0)</f>
        <v>0</v>
      </c>
    </row>
    <row r="269">
      <c r="A269" s="1" t="s">
        <v>270</v>
      </c>
      <c r="B269" s="2">
        <f>IFERROR(__xludf.DUMMYFUNCTION("VALUE(REGEXEXTRACT(A269, ""Time ([0-9.]+)s""))"),13.35)</f>
        <v>13.35</v>
      </c>
      <c r="C269" s="2">
        <f>IFERROR(__xludf.DUMMYFUNCTION("VALUE(REGEXEXTRACT(A269, ""Contact Quotient: ([0-9.]+)""))"),0.0)</f>
        <v>0</v>
      </c>
    </row>
    <row r="270">
      <c r="A270" s="1" t="s">
        <v>271</v>
      </c>
      <c r="B270" s="2">
        <f>IFERROR(__xludf.DUMMYFUNCTION("VALUE(REGEXEXTRACT(A270, ""Time ([0-9.]+)s""))"),13.4)</f>
        <v>13.4</v>
      </c>
      <c r="C270" s="2">
        <f>IFERROR(__xludf.DUMMYFUNCTION("VALUE(REGEXEXTRACT(A270, ""Contact Quotient: ([0-9.]+)""))"),0.0)</f>
        <v>0</v>
      </c>
    </row>
    <row r="271">
      <c r="A271" s="1" t="s">
        <v>272</v>
      </c>
      <c r="B271" s="2">
        <f>IFERROR(__xludf.DUMMYFUNCTION("VALUE(REGEXEXTRACT(A271, ""Time ([0-9.]+)s""))"),13.45)</f>
        <v>13.45</v>
      </c>
      <c r="C271" s="2">
        <f>IFERROR(__xludf.DUMMYFUNCTION("VALUE(REGEXEXTRACT(A271, ""Contact Quotient: ([0-9.]+)""))"),0.0)</f>
        <v>0</v>
      </c>
    </row>
    <row r="272">
      <c r="A272" s="1" t="s">
        <v>273</v>
      </c>
      <c r="B272" s="2">
        <f>IFERROR(__xludf.DUMMYFUNCTION("VALUE(REGEXEXTRACT(A272, ""Time ([0-9.]+)s""))"),13.5)</f>
        <v>13.5</v>
      </c>
      <c r="C272" s="2">
        <f>IFERROR(__xludf.DUMMYFUNCTION("VALUE(REGEXEXTRACT(A272, ""Contact Quotient: ([0-9.]+)""))"),0.34)</f>
        <v>0.34</v>
      </c>
    </row>
    <row r="273">
      <c r="A273" s="1" t="s">
        <v>274</v>
      </c>
      <c r="B273" s="2">
        <f>IFERROR(__xludf.DUMMYFUNCTION("VALUE(REGEXEXTRACT(A273, ""Time ([0-9.]+)s""))"),13.55)</f>
        <v>13.55</v>
      </c>
      <c r="C273" s="2">
        <f>IFERROR(__xludf.DUMMYFUNCTION("VALUE(REGEXEXTRACT(A273, ""Contact Quotient: ([0-9.]+)""))"),0.35)</f>
        <v>0.35</v>
      </c>
    </row>
    <row r="274">
      <c r="A274" s="1" t="s">
        <v>275</v>
      </c>
      <c r="B274" s="2">
        <f>IFERROR(__xludf.DUMMYFUNCTION("VALUE(REGEXEXTRACT(A274, ""Time ([0-9.]+)s""))"),13.6)</f>
        <v>13.6</v>
      </c>
      <c r="C274" s="2">
        <f>IFERROR(__xludf.DUMMYFUNCTION("VALUE(REGEXEXTRACT(A274, ""Contact Quotient: ([0-9.]+)""))"),0.36)</f>
        <v>0.36</v>
      </c>
    </row>
    <row r="275">
      <c r="A275" s="1" t="s">
        <v>276</v>
      </c>
      <c r="B275" s="2">
        <f>IFERROR(__xludf.DUMMYFUNCTION("VALUE(REGEXEXTRACT(A275, ""Time ([0-9.]+)s""))"),13.65)</f>
        <v>13.65</v>
      </c>
      <c r="C275" s="2">
        <f>IFERROR(__xludf.DUMMYFUNCTION("VALUE(REGEXEXTRACT(A275, ""Contact Quotient: ([0-9.]+)""))"),0.35)</f>
        <v>0.35</v>
      </c>
    </row>
    <row r="276">
      <c r="A276" s="1" t="s">
        <v>277</v>
      </c>
      <c r="B276" s="2">
        <f>IFERROR(__xludf.DUMMYFUNCTION("VALUE(REGEXEXTRACT(A276, ""Time ([0-9.]+)s""))"),13.7)</f>
        <v>13.7</v>
      </c>
      <c r="C276" s="2">
        <f>IFERROR(__xludf.DUMMYFUNCTION("VALUE(REGEXEXTRACT(A276, ""Contact Quotient: ([0-9.]+)""))"),0.3)</f>
        <v>0.3</v>
      </c>
    </row>
    <row r="277">
      <c r="A277" s="1" t="s">
        <v>278</v>
      </c>
      <c r="B277" s="2">
        <f>IFERROR(__xludf.DUMMYFUNCTION("VALUE(REGEXEXTRACT(A277, ""Time ([0-9.]+)s""))"),13.75)</f>
        <v>13.75</v>
      </c>
      <c r="C277" s="2">
        <f>IFERROR(__xludf.DUMMYFUNCTION("VALUE(REGEXEXTRACT(A277, ""Contact Quotient: ([0-9.]+)""))"),0.34)</f>
        <v>0.34</v>
      </c>
    </row>
    <row r="278">
      <c r="A278" s="1" t="s">
        <v>279</v>
      </c>
      <c r="B278" s="2">
        <f>IFERROR(__xludf.DUMMYFUNCTION("VALUE(REGEXEXTRACT(A278, ""Time ([0-9.]+)s""))"),13.8)</f>
        <v>13.8</v>
      </c>
      <c r="C278" s="2">
        <f>IFERROR(__xludf.DUMMYFUNCTION("VALUE(REGEXEXTRACT(A278, ""Contact Quotient: ([0-9.]+)""))"),0.36)</f>
        <v>0.36</v>
      </c>
    </row>
    <row r="279">
      <c r="A279" s="1" t="s">
        <v>280</v>
      </c>
      <c r="B279" s="2">
        <f>IFERROR(__xludf.DUMMYFUNCTION("VALUE(REGEXEXTRACT(A279, ""Time ([0-9.]+)s""))"),13.85)</f>
        <v>13.85</v>
      </c>
      <c r="C279" s="2">
        <f>IFERROR(__xludf.DUMMYFUNCTION("VALUE(REGEXEXTRACT(A279, ""Contact Quotient: ([0-9.]+)""))"),0.36)</f>
        <v>0.36</v>
      </c>
    </row>
    <row r="280">
      <c r="A280" s="1" t="s">
        <v>281</v>
      </c>
      <c r="B280" s="2">
        <f>IFERROR(__xludf.DUMMYFUNCTION("VALUE(REGEXEXTRACT(A280, ""Time ([0-9.]+)s""))"),13.9)</f>
        <v>13.9</v>
      </c>
      <c r="C280" s="2">
        <f>IFERROR(__xludf.DUMMYFUNCTION("VALUE(REGEXEXTRACT(A280, ""Contact Quotient: ([0-9.]+)""))"),0.36)</f>
        <v>0.36</v>
      </c>
    </row>
    <row r="281">
      <c r="A281" s="1" t="s">
        <v>282</v>
      </c>
      <c r="B281" s="2">
        <f>IFERROR(__xludf.DUMMYFUNCTION("VALUE(REGEXEXTRACT(A281, ""Time ([0-9.]+)s""))"),13.95)</f>
        <v>13.95</v>
      </c>
      <c r="C281" s="2">
        <f>IFERROR(__xludf.DUMMYFUNCTION("VALUE(REGEXEXTRACT(A281, ""Contact Quotient: ([0-9.]+)""))"),0.32)</f>
        <v>0.32</v>
      </c>
    </row>
    <row r="282">
      <c r="A282" s="1" t="s">
        <v>283</v>
      </c>
      <c r="B282" s="2">
        <f>IFERROR(__xludf.DUMMYFUNCTION("VALUE(REGEXEXTRACT(A282, ""Time ([0-9.]+)s""))"),14.0)</f>
        <v>14</v>
      </c>
      <c r="C282" s="2">
        <f>IFERROR(__xludf.DUMMYFUNCTION("VALUE(REGEXEXTRACT(A282, ""Contact Quotient: ([0-9.]+)""))"),0.32)</f>
        <v>0.32</v>
      </c>
    </row>
    <row r="283">
      <c r="A283" s="1" t="s">
        <v>284</v>
      </c>
      <c r="B283" s="2">
        <f>IFERROR(__xludf.DUMMYFUNCTION("VALUE(REGEXEXTRACT(A283, ""Time ([0-9.]+)s""))"),14.05)</f>
        <v>14.05</v>
      </c>
      <c r="C283" s="2">
        <f>IFERROR(__xludf.DUMMYFUNCTION("VALUE(REGEXEXTRACT(A283, ""Contact Quotient: ([0-9.]+)""))"),0.31)</f>
        <v>0.31</v>
      </c>
    </row>
    <row r="284">
      <c r="A284" s="1" t="s">
        <v>285</v>
      </c>
      <c r="B284" s="2">
        <f>IFERROR(__xludf.DUMMYFUNCTION("VALUE(REGEXEXTRACT(A284, ""Time ([0-9.]+)s""))"),14.1)</f>
        <v>14.1</v>
      </c>
      <c r="C284" s="2">
        <f>IFERROR(__xludf.DUMMYFUNCTION("VALUE(REGEXEXTRACT(A284, ""Contact Quotient: ([0-9.]+)""))"),0.31)</f>
        <v>0.31</v>
      </c>
    </row>
    <row r="285">
      <c r="A285" s="1" t="s">
        <v>286</v>
      </c>
      <c r="B285" s="2">
        <f>IFERROR(__xludf.DUMMYFUNCTION("VALUE(REGEXEXTRACT(A285, ""Time ([0-9.]+)s""))"),14.15)</f>
        <v>14.15</v>
      </c>
      <c r="C285" s="2">
        <f>IFERROR(__xludf.DUMMYFUNCTION("VALUE(REGEXEXTRACT(A285, ""Contact Quotient: ([0-9.]+)""))"),0.31)</f>
        <v>0.31</v>
      </c>
    </row>
    <row r="286">
      <c r="A286" s="1" t="s">
        <v>287</v>
      </c>
      <c r="B286" s="2">
        <f>IFERROR(__xludf.DUMMYFUNCTION("VALUE(REGEXEXTRACT(A286, ""Time ([0-9.]+)s""))"),14.2)</f>
        <v>14.2</v>
      </c>
      <c r="C286" s="2">
        <f>IFERROR(__xludf.DUMMYFUNCTION("VALUE(REGEXEXTRACT(A286, ""Contact Quotient: ([0-9.]+)""))"),0.34)</f>
        <v>0.34</v>
      </c>
    </row>
    <row r="287">
      <c r="A287" s="1" t="s">
        <v>288</v>
      </c>
      <c r="B287" s="2">
        <f>IFERROR(__xludf.DUMMYFUNCTION("VALUE(REGEXEXTRACT(A287, ""Time ([0-9.]+)s""))"),14.25)</f>
        <v>14.25</v>
      </c>
      <c r="C287" s="2">
        <f>IFERROR(__xludf.DUMMYFUNCTION("VALUE(REGEXEXTRACT(A287, ""Contact Quotient: ([0-9.]+)""))"),0.28)</f>
        <v>0.28</v>
      </c>
    </row>
    <row r="288">
      <c r="A288" s="1" t="s">
        <v>289</v>
      </c>
      <c r="B288" s="2">
        <f>IFERROR(__xludf.DUMMYFUNCTION("VALUE(REGEXEXTRACT(A288, ""Time ([0-9.]+)s""))"),14.3)</f>
        <v>14.3</v>
      </c>
      <c r="C288" s="2">
        <f>IFERROR(__xludf.DUMMYFUNCTION("VALUE(REGEXEXTRACT(A288, ""Contact Quotient: ([0-9.]+)""))"),0.28)</f>
        <v>0.28</v>
      </c>
    </row>
    <row r="289">
      <c r="A289" s="1" t="s">
        <v>290</v>
      </c>
      <c r="B289" s="2">
        <f>IFERROR(__xludf.DUMMYFUNCTION("VALUE(REGEXEXTRACT(A289, ""Time ([0-9.]+)s""))"),14.35)</f>
        <v>14.35</v>
      </c>
      <c r="C289" s="2">
        <f>IFERROR(__xludf.DUMMYFUNCTION("VALUE(REGEXEXTRACT(A289, ""Contact Quotient: ([0-9.]+)""))"),0.33)</f>
        <v>0.33</v>
      </c>
    </row>
    <row r="290">
      <c r="A290" s="1" t="s">
        <v>291</v>
      </c>
      <c r="B290" s="2">
        <f>IFERROR(__xludf.DUMMYFUNCTION("VALUE(REGEXEXTRACT(A290, ""Time ([0-9.]+)s""))"),14.4)</f>
        <v>14.4</v>
      </c>
      <c r="C290" s="2">
        <f>IFERROR(__xludf.DUMMYFUNCTION("VALUE(REGEXEXTRACT(A290, ""Contact Quotient: ([0-9.]+)""))"),0.34)</f>
        <v>0.34</v>
      </c>
    </row>
    <row r="291">
      <c r="A291" s="1" t="s">
        <v>292</v>
      </c>
      <c r="B291" s="2">
        <f>IFERROR(__xludf.DUMMYFUNCTION("VALUE(REGEXEXTRACT(A291, ""Time ([0-9.]+)s""))"),14.45)</f>
        <v>14.45</v>
      </c>
      <c r="C291" s="2">
        <f>IFERROR(__xludf.DUMMYFUNCTION("VALUE(REGEXEXTRACT(A291, ""Contact Quotient: ([0-9.]+)""))"),0.33)</f>
        <v>0.33</v>
      </c>
    </row>
    <row r="292">
      <c r="A292" s="1" t="s">
        <v>293</v>
      </c>
      <c r="B292" s="2">
        <f>IFERROR(__xludf.DUMMYFUNCTION("VALUE(REGEXEXTRACT(A292, ""Time ([0-9.]+)s""))"),14.5)</f>
        <v>14.5</v>
      </c>
      <c r="C292" s="2">
        <f>IFERROR(__xludf.DUMMYFUNCTION("VALUE(REGEXEXTRACT(A292, ""Contact Quotient: ([0-9.]+)""))"),0.3)</f>
        <v>0.3</v>
      </c>
    </row>
    <row r="293">
      <c r="A293" s="1" t="s">
        <v>294</v>
      </c>
      <c r="B293" s="2">
        <f>IFERROR(__xludf.DUMMYFUNCTION("VALUE(REGEXEXTRACT(A293, ""Time ([0-9.]+)s""))"),14.55)</f>
        <v>14.55</v>
      </c>
      <c r="C293" s="2">
        <f>IFERROR(__xludf.DUMMYFUNCTION("VALUE(REGEXEXTRACT(A293, ""Contact Quotient: ([0-9.]+)""))"),0.29)</f>
        <v>0.29</v>
      </c>
    </row>
    <row r="294">
      <c r="A294" s="1" t="s">
        <v>295</v>
      </c>
      <c r="B294" s="2">
        <f>IFERROR(__xludf.DUMMYFUNCTION("VALUE(REGEXEXTRACT(A294, ""Time ([0-9.]+)s""))"),14.6)</f>
        <v>14.6</v>
      </c>
      <c r="C294" s="2">
        <f>IFERROR(__xludf.DUMMYFUNCTION("VALUE(REGEXEXTRACT(A294, ""Contact Quotient: ([0-9.]+)""))"),0.3)</f>
        <v>0.3</v>
      </c>
    </row>
    <row r="295">
      <c r="A295" s="1" t="s">
        <v>296</v>
      </c>
      <c r="B295" s="2">
        <f>IFERROR(__xludf.DUMMYFUNCTION("VALUE(REGEXEXTRACT(A295, ""Time ([0-9.]+)s""))"),14.65)</f>
        <v>14.65</v>
      </c>
      <c r="C295" s="2">
        <f>IFERROR(__xludf.DUMMYFUNCTION("VALUE(REGEXEXTRACT(A295, ""Contact Quotient: ([0-9.]+)""))"),0.33)</f>
        <v>0.33</v>
      </c>
    </row>
    <row r="296">
      <c r="A296" s="1" t="s">
        <v>297</v>
      </c>
      <c r="B296" s="2">
        <f>IFERROR(__xludf.DUMMYFUNCTION("VALUE(REGEXEXTRACT(A296, ""Time ([0-9.]+)s""))"),14.7)</f>
        <v>14.7</v>
      </c>
      <c r="C296" s="2">
        <f>IFERROR(__xludf.DUMMYFUNCTION("VALUE(REGEXEXTRACT(A296, ""Contact Quotient: ([0-9.]+)""))"),0.3)</f>
        <v>0.3</v>
      </c>
    </row>
    <row r="297">
      <c r="A297" s="1" t="s">
        <v>298</v>
      </c>
      <c r="B297" s="2">
        <f>IFERROR(__xludf.DUMMYFUNCTION("VALUE(REGEXEXTRACT(A297, ""Time ([0-9.]+)s""))"),14.75)</f>
        <v>14.75</v>
      </c>
      <c r="C297" s="2">
        <f>IFERROR(__xludf.DUMMYFUNCTION("VALUE(REGEXEXTRACT(A297, ""Contact Quotient: ([0-9.]+)""))"),0.28)</f>
        <v>0.28</v>
      </c>
    </row>
    <row r="298">
      <c r="A298" s="1" t="s">
        <v>299</v>
      </c>
      <c r="B298" s="2">
        <f>IFERROR(__xludf.DUMMYFUNCTION("VALUE(REGEXEXTRACT(A298, ""Time ([0-9.]+)s""))"),14.8)</f>
        <v>14.8</v>
      </c>
      <c r="C298" s="2">
        <f>IFERROR(__xludf.DUMMYFUNCTION("VALUE(REGEXEXTRACT(A298, ""Contact Quotient: ([0-9.]+)""))"),0.28)</f>
        <v>0.28</v>
      </c>
    </row>
    <row r="299">
      <c r="A299" s="1" t="s">
        <v>300</v>
      </c>
      <c r="B299" s="2">
        <f>IFERROR(__xludf.DUMMYFUNCTION("VALUE(REGEXEXTRACT(A299, ""Time ([0-9.]+)s""))"),14.85)</f>
        <v>14.85</v>
      </c>
      <c r="C299" s="2">
        <f>IFERROR(__xludf.DUMMYFUNCTION("VALUE(REGEXEXTRACT(A299, ""Contact Quotient: ([0-9.]+)""))"),0.29)</f>
        <v>0.29</v>
      </c>
    </row>
    <row r="300">
      <c r="A300" s="1" t="s">
        <v>301</v>
      </c>
      <c r="B300" s="2">
        <f>IFERROR(__xludf.DUMMYFUNCTION("VALUE(REGEXEXTRACT(A300, ""Time ([0-9.]+)s""))"),14.9)</f>
        <v>14.9</v>
      </c>
      <c r="C300" s="2">
        <f>IFERROR(__xludf.DUMMYFUNCTION("VALUE(REGEXEXTRACT(A300, ""Contact Quotient: ([0-9.]+)""))"),0.31)</f>
        <v>0.31</v>
      </c>
    </row>
    <row r="301">
      <c r="A301" s="1" t="s">
        <v>302</v>
      </c>
      <c r="B301" s="2">
        <f>IFERROR(__xludf.DUMMYFUNCTION("VALUE(REGEXEXTRACT(A301, ""Time ([0-9.]+)s""))"),14.95)</f>
        <v>14.95</v>
      </c>
      <c r="C301" s="2">
        <f>IFERROR(__xludf.DUMMYFUNCTION("VALUE(REGEXEXTRACT(A301, ""Contact Quotient: ([0-9.]+)""))"),0.3)</f>
        <v>0.3</v>
      </c>
    </row>
    <row r="302">
      <c r="A302" s="1" t="s">
        <v>303</v>
      </c>
      <c r="B302" s="2">
        <f>IFERROR(__xludf.DUMMYFUNCTION("VALUE(REGEXEXTRACT(A302, ""Time ([0-9.]+)s""))"),15.0)</f>
        <v>15</v>
      </c>
      <c r="C302" s="2">
        <f>IFERROR(__xludf.DUMMYFUNCTION("VALUE(REGEXEXTRACT(A302, ""Contact Quotient: ([0-9.]+)""))"),0.28)</f>
        <v>0.28</v>
      </c>
    </row>
    <row r="303">
      <c r="A303" s="1" t="s">
        <v>304</v>
      </c>
      <c r="B303" s="2">
        <f>IFERROR(__xludf.DUMMYFUNCTION("VALUE(REGEXEXTRACT(A303, ""Time ([0-9.]+)s""))"),15.05)</f>
        <v>15.05</v>
      </c>
      <c r="C303" s="2">
        <f>IFERROR(__xludf.DUMMYFUNCTION("VALUE(REGEXEXTRACT(A303, ""Contact Quotient: ([0-9.]+)""))"),0.28)</f>
        <v>0.28</v>
      </c>
    </row>
    <row r="304">
      <c r="A304" s="1" t="s">
        <v>305</v>
      </c>
      <c r="B304" s="2">
        <f>IFERROR(__xludf.DUMMYFUNCTION("VALUE(REGEXEXTRACT(A304, ""Time ([0-9.]+)s""))"),15.1)</f>
        <v>15.1</v>
      </c>
      <c r="C304" s="2">
        <f>IFERROR(__xludf.DUMMYFUNCTION("VALUE(REGEXEXTRACT(A304, ""Contact Quotient: ([0-9.]+)""))"),0.28)</f>
        <v>0.28</v>
      </c>
    </row>
    <row r="305">
      <c r="A305" s="1" t="s">
        <v>306</v>
      </c>
      <c r="B305" s="2">
        <f>IFERROR(__xludf.DUMMYFUNCTION("VALUE(REGEXEXTRACT(A305, ""Time ([0-9.]+)s""))"),15.15)</f>
        <v>15.15</v>
      </c>
      <c r="C305" s="2">
        <f>IFERROR(__xludf.DUMMYFUNCTION("VALUE(REGEXEXTRACT(A305, ""Contact Quotient: ([0-9.]+)""))"),0.34)</f>
        <v>0.34</v>
      </c>
    </row>
    <row r="306">
      <c r="A306" s="1" t="s">
        <v>307</v>
      </c>
      <c r="B306" s="2">
        <f>IFERROR(__xludf.DUMMYFUNCTION("VALUE(REGEXEXTRACT(A306, ""Time ([0-9.]+)s""))"),15.2)</f>
        <v>15.2</v>
      </c>
      <c r="C306" s="2">
        <f>IFERROR(__xludf.DUMMYFUNCTION("VALUE(REGEXEXTRACT(A306, ""Contact Quotient: ([0-9.]+)""))"),0.34)</f>
        <v>0.34</v>
      </c>
    </row>
    <row r="307">
      <c r="A307" s="1" t="s">
        <v>308</v>
      </c>
      <c r="B307" s="2">
        <f>IFERROR(__xludf.DUMMYFUNCTION("VALUE(REGEXEXTRACT(A307, ""Time ([0-9.]+)s""))"),15.25)</f>
        <v>15.25</v>
      </c>
      <c r="C307" s="2">
        <f>IFERROR(__xludf.DUMMYFUNCTION("VALUE(REGEXEXTRACT(A307, ""Contact Quotient: ([0-9.]+)""))"),0.33)</f>
        <v>0.33</v>
      </c>
    </row>
    <row r="308">
      <c r="A308" s="1" t="s">
        <v>309</v>
      </c>
      <c r="B308" s="2">
        <f>IFERROR(__xludf.DUMMYFUNCTION("VALUE(REGEXEXTRACT(A308, ""Time ([0-9.]+)s""))"),15.3)</f>
        <v>15.3</v>
      </c>
      <c r="C308" s="2">
        <f>IFERROR(__xludf.DUMMYFUNCTION("VALUE(REGEXEXTRACT(A308, ""Contact Quotient: ([0-9.]+)""))"),0.3)</f>
        <v>0.3</v>
      </c>
    </row>
    <row r="309">
      <c r="A309" s="1" t="s">
        <v>310</v>
      </c>
      <c r="B309" s="2">
        <f>IFERROR(__xludf.DUMMYFUNCTION("VALUE(REGEXEXTRACT(A309, ""Time ([0-9.]+)s""))"),15.35)</f>
        <v>15.35</v>
      </c>
      <c r="C309" s="2">
        <f>IFERROR(__xludf.DUMMYFUNCTION("VALUE(REGEXEXTRACT(A309, ""Contact Quotient: ([0-9.]+)""))"),0.3)</f>
        <v>0.3</v>
      </c>
    </row>
    <row r="310">
      <c r="A310" s="1" t="s">
        <v>311</v>
      </c>
      <c r="B310" s="2">
        <f>IFERROR(__xludf.DUMMYFUNCTION("VALUE(REGEXEXTRACT(A310, ""Time ([0-9.]+)s""))"),15.4)</f>
        <v>15.4</v>
      </c>
      <c r="C310" s="2">
        <f>IFERROR(__xludf.DUMMYFUNCTION("VALUE(REGEXEXTRACT(A310, ""Contact Quotient: ([0-9.]+)""))"),0.28)</f>
        <v>0.28</v>
      </c>
    </row>
    <row r="311">
      <c r="A311" s="1" t="s">
        <v>312</v>
      </c>
      <c r="B311" s="2">
        <f>IFERROR(__xludf.DUMMYFUNCTION("VALUE(REGEXEXTRACT(A311, ""Time ([0-9.]+)s""))"),15.45)</f>
        <v>15.45</v>
      </c>
      <c r="C311" s="2">
        <f>IFERROR(__xludf.DUMMYFUNCTION("VALUE(REGEXEXTRACT(A311, ""Contact Quotient: ([0-9.]+)""))"),0.3)</f>
        <v>0.3</v>
      </c>
    </row>
    <row r="312">
      <c r="A312" s="1" t="s">
        <v>313</v>
      </c>
      <c r="B312" s="2">
        <f>IFERROR(__xludf.DUMMYFUNCTION("VALUE(REGEXEXTRACT(A312, ""Time ([0-9.]+)s""))"),15.5)</f>
        <v>15.5</v>
      </c>
      <c r="C312" s="2">
        <f>IFERROR(__xludf.DUMMYFUNCTION("VALUE(REGEXEXTRACT(A312, ""Contact Quotient: ([0-9.]+)""))"),0.36)</f>
        <v>0.36</v>
      </c>
    </row>
    <row r="313">
      <c r="A313" s="1" t="s">
        <v>314</v>
      </c>
      <c r="B313" s="2">
        <f>IFERROR(__xludf.DUMMYFUNCTION("VALUE(REGEXEXTRACT(A313, ""Time ([0-9.]+)s""))"),15.55)</f>
        <v>15.55</v>
      </c>
      <c r="C313" s="2">
        <f>IFERROR(__xludf.DUMMYFUNCTION("VALUE(REGEXEXTRACT(A313, ""Contact Quotient: ([0-9.]+)""))"),0.35)</f>
        <v>0.35</v>
      </c>
    </row>
    <row r="314">
      <c r="A314" s="1" t="s">
        <v>315</v>
      </c>
      <c r="B314" s="2">
        <f>IFERROR(__xludf.DUMMYFUNCTION("VALUE(REGEXEXTRACT(A314, ""Time ([0-9.]+)s""))"),15.6)</f>
        <v>15.6</v>
      </c>
      <c r="C314" s="2">
        <f>IFERROR(__xludf.DUMMYFUNCTION("VALUE(REGEXEXTRACT(A314, ""Contact Quotient: ([0-9.]+)""))"),0.35)</f>
        <v>0.35</v>
      </c>
    </row>
    <row r="315">
      <c r="A315" s="1" t="s">
        <v>316</v>
      </c>
      <c r="B315" s="2">
        <f>IFERROR(__xludf.DUMMYFUNCTION("VALUE(REGEXEXTRACT(A315, ""Time ([0-9.]+)s""))"),15.65)</f>
        <v>15.65</v>
      </c>
      <c r="C315" s="2">
        <f>IFERROR(__xludf.DUMMYFUNCTION("VALUE(REGEXEXTRACT(A315, ""Contact Quotient: ([0-9.]+)""))"),0.3)</f>
        <v>0.3</v>
      </c>
    </row>
    <row r="316">
      <c r="A316" s="1" t="s">
        <v>317</v>
      </c>
      <c r="B316" s="2">
        <f>IFERROR(__xludf.DUMMYFUNCTION("VALUE(REGEXEXTRACT(A316, ""Time ([0-9.]+)s""))"),15.7)</f>
        <v>15.7</v>
      </c>
      <c r="C316" s="2">
        <f>IFERROR(__xludf.DUMMYFUNCTION("VALUE(REGEXEXTRACT(A316, ""Contact Quotient: ([0-9.]+)""))"),0.3)</f>
        <v>0.3</v>
      </c>
    </row>
    <row r="317">
      <c r="A317" s="1" t="s">
        <v>318</v>
      </c>
      <c r="B317" s="2">
        <f>IFERROR(__xludf.DUMMYFUNCTION("VALUE(REGEXEXTRACT(A317, ""Time ([0-9.]+)s""))"),15.75)</f>
        <v>15.75</v>
      </c>
      <c r="C317" s="2">
        <f>IFERROR(__xludf.DUMMYFUNCTION("VALUE(REGEXEXTRACT(A317, ""Contact Quotient: ([0-9.]+)""))"),0.3)</f>
        <v>0.3</v>
      </c>
    </row>
    <row r="318">
      <c r="A318" s="1" t="s">
        <v>319</v>
      </c>
      <c r="B318" s="2">
        <f>IFERROR(__xludf.DUMMYFUNCTION("VALUE(REGEXEXTRACT(A318, ""Time ([0-9.]+)s""))"),15.8)</f>
        <v>15.8</v>
      </c>
      <c r="C318" s="2">
        <f>IFERROR(__xludf.DUMMYFUNCTION("VALUE(REGEXEXTRACT(A318, ""Contact Quotient: ([0-9.]+)""))"),0.3)</f>
        <v>0.3</v>
      </c>
    </row>
    <row r="319">
      <c r="A319" s="1" t="s">
        <v>320</v>
      </c>
      <c r="B319" s="2">
        <f>IFERROR(__xludf.DUMMYFUNCTION("VALUE(REGEXEXTRACT(A319, ""Time ([0-9.]+)s""))"),15.85)</f>
        <v>15.85</v>
      </c>
      <c r="C319" s="2">
        <f>IFERROR(__xludf.DUMMYFUNCTION("VALUE(REGEXEXTRACT(A319, ""Contact Quotient: ([0-9.]+)""))"),0.29)</f>
        <v>0.29</v>
      </c>
    </row>
    <row r="320">
      <c r="A320" s="1" t="s">
        <v>321</v>
      </c>
      <c r="B320" s="2">
        <f>IFERROR(__xludf.DUMMYFUNCTION("VALUE(REGEXEXTRACT(A320, ""Time ([0-9.]+)s""))"),15.9)</f>
        <v>15.9</v>
      </c>
      <c r="C320" s="2">
        <f>IFERROR(__xludf.DUMMYFUNCTION("VALUE(REGEXEXTRACT(A320, ""Contact Quotient: ([0-9.]+)""))"),0.29)</f>
        <v>0.29</v>
      </c>
    </row>
    <row r="321">
      <c r="A321" s="1" t="s">
        <v>322</v>
      </c>
      <c r="B321" s="2">
        <f>IFERROR(__xludf.DUMMYFUNCTION("VALUE(REGEXEXTRACT(A321, ""Time ([0-9.]+)s""))"),15.95)</f>
        <v>15.95</v>
      </c>
      <c r="C321" s="2">
        <f>IFERROR(__xludf.DUMMYFUNCTION("VALUE(REGEXEXTRACT(A321, ""Contact Quotient: ([0-9.]+)""))"),0.3)</f>
        <v>0.3</v>
      </c>
    </row>
    <row r="322">
      <c r="A322" s="1" t="s">
        <v>323</v>
      </c>
      <c r="B322" s="2">
        <f>IFERROR(__xludf.DUMMYFUNCTION("VALUE(REGEXEXTRACT(A322, ""Time ([0-9.]+)s""))"),16.0)</f>
        <v>16</v>
      </c>
      <c r="C322" s="2">
        <f>IFERROR(__xludf.DUMMYFUNCTION("VALUE(REGEXEXTRACT(A322, ""Contact Quotient: ([0-9.]+)""))"),0.31)</f>
        <v>0.31</v>
      </c>
    </row>
    <row r="323">
      <c r="A323" s="1" t="s">
        <v>324</v>
      </c>
      <c r="B323" s="2">
        <f>IFERROR(__xludf.DUMMYFUNCTION("VALUE(REGEXEXTRACT(A323, ""Time ([0-9.]+)s""))"),16.05)</f>
        <v>16.05</v>
      </c>
      <c r="C323" s="2">
        <f>IFERROR(__xludf.DUMMYFUNCTION("VALUE(REGEXEXTRACT(A323, ""Contact Quotient: ([0-9.]+)""))"),0.3)</f>
        <v>0.3</v>
      </c>
    </row>
    <row r="324">
      <c r="A324" s="1" t="s">
        <v>325</v>
      </c>
      <c r="B324" s="2">
        <f>IFERROR(__xludf.DUMMYFUNCTION("VALUE(REGEXEXTRACT(A324, ""Time ([0-9.]+)s""))"),16.1)</f>
        <v>16.1</v>
      </c>
      <c r="C324" s="2">
        <f>IFERROR(__xludf.DUMMYFUNCTION("VALUE(REGEXEXTRACT(A324, ""Contact Quotient: ([0-9.]+)""))"),0.29)</f>
        <v>0.29</v>
      </c>
    </row>
    <row r="325">
      <c r="A325" s="1" t="s">
        <v>326</v>
      </c>
      <c r="B325" s="2">
        <f>IFERROR(__xludf.DUMMYFUNCTION("VALUE(REGEXEXTRACT(A325, ""Time ([0-9.]+)s""))"),16.15)</f>
        <v>16.15</v>
      </c>
      <c r="C325" s="2">
        <f>IFERROR(__xludf.DUMMYFUNCTION("VALUE(REGEXEXTRACT(A325, ""Contact Quotient: ([0-9.]+)""))"),0.29)</f>
        <v>0.29</v>
      </c>
    </row>
    <row r="326">
      <c r="A326" s="1" t="s">
        <v>327</v>
      </c>
      <c r="B326" s="2">
        <f>IFERROR(__xludf.DUMMYFUNCTION("VALUE(REGEXEXTRACT(A326, ""Time ([0-9.]+)s""))"),16.2)</f>
        <v>16.2</v>
      </c>
      <c r="C326" s="2">
        <f>IFERROR(__xludf.DUMMYFUNCTION("VALUE(REGEXEXTRACT(A326, ""Contact Quotient: ([0-9.]+)""))"),0.3)</f>
        <v>0.3</v>
      </c>
    </row>
    <row r="327">
      <c r="A327" s="1" t="s">
        <v>328</v>
      </c>
      <c r="B327" s="2">
        <f>IFERROR(__xludf.DUMMYFUNCTION("VALUE(REGEXEXTRACT(A327, ""Time ([0-9.]+)s""))"),16.25)</f>
        <v>16.25</v>
      </c>
      <c r="C327" s="2">
        <f>IFERROR(__xludf.DUMMYFUNCTION("VALUE(REGEXEXTRACT(A327, ""Contact Quotient: ([0-9.]+)""))"),0.32)</f>
        <v>0.32</v>
      </c>
    </row>
    <row r="328">
      <c r="A328" s="1" t="s">
        <v>329</v>
      </c>
      <c r="B328" s="2">
        <f>IFERROR(__xludf.DUMMYFUNCTION("VALUE(REGEXEXTRACT(A328, ""Time ([0-9.]+)s""))"),16.3)</f>
        <v>16.3</v>
      </c>
      <c r="C328" s="2">
        <f>IFERROR(__xludf.DUMMYFUNCTION("VALUE(REGEXEXTRACT(A328, ""Contact Quotient: ([0-9.]+)""))"),0.32)</f>
        <v>0.32</v>
      </c>
    </row>
    <row r="329">
      <c r="A329" s="1" t="s">
        <v>330</v>
      </c>
      <c r="B329" s="2">
        <f>IFERROR(__xludf.DUMMYFUNCTION("VALUE(REGEXEXTRACT(A329, ""Time ([0-9.]+)s""))"),16.35)</f>
        <v>16.35</v>
      </c>
      <c r="C329" s="2">
        <f>IFERROR(__xludf.DUMMYFUNCTION("VALUE(REGEXEXTRACT(A329, ""Contact Quotient: ([0-9.]+)""))"),0.3)</f>
        <v>0.3</v>
      </c>
    </row>
    <row r="330">
      <c r="A330" s="1" t="s">
        <v>331</v>
      </c>
      <c r="B330" s="2">
        <f>IFERROR(__xludf.DUMMYFUNCTION("VALUE(REGEXEXTRACT(A330, ""Time ([0-9.]+)s""))"),16.4)</f>
        <v>16.4</v>
      </c>
      <c r="C330" s="2">
        <f>IFERROR(__xludf.DUMMYFUNCTION("VALUE(REGEXEXTRACT(A330, ""Contact Quotient: ([0-9.]+)""))"),0.28)</f>
        <v>0.28</v>
      </c>
    </row>
    <row r="331">
      <c r="A331" s="1" t="s">
        <v>332</v>
      </c>
      <c r="B331" s="2">
        <f>IFERROR(__xludf.DUMMYFUNCTION("VALUE(REGEXEXTRACT(A331, ""Time ([0-9.]+)s""))"),16.45)</f>
        <v>16.45</v>
      </c>
      <c r="C331" s="2">
        <f>IFERROR(__xludf.DUMMYFUNCTION("VALUE(REGEXEXTRACT(A331, ""Contact Quotient: ([0-9.]+)""))"),0.3)</f>
        <v>0.3</v>
      </c>
    </row>
    <row r="332">
      <c r="A332" s="1" t="s">
        <v>333</v>
      </c>
      <c r="B332" s="2">
        <f>IFERROR(__xludf.DUMMYFUNCTION("VALUE(REGEXEXTRACT(A332, ""Time ([0-9.]+)s""))"),16.5)</f>
        <v>16.5</v>
      </c>
      <c r="C332" s="2">
        <f>IFERROR(__xludf.DUMMYFUNCTION("VALUE(REGEXEXTRACT(A332, ""Contact Quotient: ([0-9.]+)""))"),0.31)</f>
        <v>0.31</v>
      </c>
    </row>
    <row r="333">
      <c r="A333" s="1" t="s">
        <v>334</v>
      </c>
      <c r="B333" s="2">
        <f>IFERROR(__xludf.DUMMYFUNCTION("VALUE(REGEXEXTRACT(A333, ""Time ([0-9.]+)s""))"),16.55)</f>
        <v>16.55</v>
      </c>
      <c r="C333" s="2">
        <f>IFERROR(__xludf.DUMMYFUNCTION("VALUE(REGEXEXTRACT(A333, ""Contact Quotient: ([0-9.]+)""))"),0.34)</f>
        <v>0.34</v>
      </c>
    </row>
    <row r="334">
      <c r="A334" s="1" t="s">
        <v>335</v>
      </c>
      <c r="B334" s="2">
        <f>IFERROR(__xludf.DUMMYFUNCTION("VALUE(REGEXEXTRACT(A334, ""Time ([0-9.]+)s""))"),16.6)</f>
        <v>16.6</v>
      </c>
      <c r="C334" s="2">
        <f>IFERROR(__xludf.DUMMYFUNCTION("VALUE(REGEXEXTRACT(A334, ""Contact Quotient: ([0-9.]+)""))"),0.32)</f>
        <v>0.32</v>
      </c>
    </row>
    <row r="335">
      <c r="A335" s="1" t="s">
        <v>336</v>
      </c>
      <c r="B335" s="2">
        <f>IFERROR(__xludf.DUMMYFUNCTION("VALUE(REGEXEXTRACT(A335, ""Time ([0-9.]+)s""))"),16.65)</f>
        <v>16.65</v>
      </c>
      <c r="C335" s="2">
        <f>IFERROR(__xludf.DUMMYFUNCTION("VALUE(REGEXEXTRACT(A335, ""Contact Quotient: ([0-9.]+)""))"),0.3)</f>
        <v>0.3</v>
      </c>
    </row>
    <row r="336">
      <c r="A336" s="1" t="s">
        <v>337</v>
      </c>
      <c r="B336" s="2">
        <f>IFERROR(__xludf.DUMMYFUNCTION("VALUE(REGEXEXTRACT(A336, ""Time ([0-9.]+)s""))"),16.7)</f>
        <v>16.7</v>
      </c>
      <c r="C336" s="2">
        <f>IFERROR(__xludf.DUMMYFUNCTION("VALUE(REGEXEXTRACT(A336, ""Contact Quotient: ([0-9.]+)""))"),0.29)</f>
        <v>0.29</v>
      </c>
    </row>
    <row r="337">
      <c r="A337" s="1" t="s">
        <v>338</v>
      </c>
      <c r="B337" s="2">
        <f>IFERROR(__xludf.DUMMYFUNCTION("VALUE(REGEXEXTRACT(A337, ""Time ([0-9.]+)s""))"),16.75)</f>
        <v>16.75</v>
      </c>
      <c r="C337" s="2">
        <f>IFERROR(__xludf.DUMMYFUNCTION("VALUE(REGEXEXTRACT(A337, ""Contact Quotient: ([0-9.]+)""))"),0.29)</f>
        <v>0.29</v>
      </c>
    </row>
    <row r="338">
      <c r="A338" s="1" t="s">
        <v>339</v>
      </c>
      <c r="B338" s="2">
        <f>IFERROR(__xludf.DUMMYFUNCTION("VALUE(REGEXEXTRACT(A338, ""Time ([0-9.]+)s""))"),16.8)</f>
        <v>16.8</v>
      </c>
      <c r="C338" s="2">
        <f>IFERROR(__xludf.DUMMYFUNCTION("VALUE(REGEXEXTRACT(A338, ""Contact Quotient: ([0-9.]+)""))"),0.29)</f>
        <v>0.29</v>
      </c>
    </row>
    <row r="339">
      <c r="A339" s="1" t="s">
        <v>340</v>
      </c>
      <c r="B339" s="2">
        <f>IFERROR(__xludf.DUMMYFUNCTION("VALUE(REGEXEXTRACT(A339, ""Time ([0-9.]+)s""))"),16.85)</f>
        <v>16.85</v>
      </c>
      <c r="C339" s="2">
        <f>IFERROR(__xludf.DUMMYFUNCTION("VALUE(REGEXEXTRACT(A339, ""Contact Quotient: ([0-9.]+)""))"),0.32)</f>
        <v>0.32</v>
      </c>
    </row>
    <row r="340">
      <c r="A340" s="1" t="s">
        <v>341</v>
      </c>
      <c r="B340" s="2">
        <f>IFERROR(__xludf.DUMMYFUNCTION("VALUE(REGEXEXTRACT(A340, ""Time ([0-9.]+)s""))"),16.9)</f>
        <v>16.9</v>
      </c>
      <c r="C340" s="2">
        <f>IFERROR(__xludf.DUMMYFUNCTION("VALUE(REGEXEXTRACT(A340, ""Contact Quotient: ([0-9.]+)""))"),0.33)</f>
        <v>0.33</v>
      </c>
    </row>
    <row r="341">
      <c r="A341" s="1" t="s">
        <v>342</v>
      </c>
      <c r="B341" s="2">
        <f>IFERROR(__xludf.DUMMYFUNCTION("VALUE(REGEXEXTRACT(A341, ""Time ([0-9.]+)s""))"),16.95)</f>
        <v>16.95</v>
      </c>
      <c r="C341" s="2">
        <f>IFERROR(__xludf.DUMMYFUNCTION("VALUE(REGEXEXTRACT(A341, ""Contact Quotient: ([0-9.]+)""))"),0.33)</f>
        <v>0.33</v>
      </c>
    </row>
    <row r="342">
      <c r="A342" s="1" t="s">
        <v>343</v>
      </c>
      <c r="B342" s="2">
        <f>IFERROR(__xludf.DUMMYFUNCTION("VALUE(REGEXEXTRACT(A342, ""Time ([0-9.]+)s""))"),17.0)</f>
        <v>17</v>
      </c>
      <c r="C342" s="2">
        <f>IFERROR(__xludf.DUMMYFUNCTION("VALUE(REGEXEXTRACT(A342, ""Contact Quotient: ([0-9.]+)""))"),0.33)</f>
        <v>0.33</v>
      </c>
    </row>
    <row r="343">
      <c r="A343" s="1" t="s">
        <v>344</v>
      </c>
      <c r="B343" s="2">
        <f>IFERROR(__xludf.DUMMYFUNCTION("VALUE(REGEXEXTRACT(A343, ""Time ([0-9.]+)s""))"),17.05)</f>
        <v>17.05</v>
      </c>
      <c r="C343" s="2">
        <f>IFERROR(__xludf.DUMMYFUNCTION("VALUE(REGEXEXTRACT(A343, ""Contact Quotient: ([0-9.]+)""))"),0.33)</f>
        <v>0.33</v>
      </c>
    </row>
    <row r="344">
      <c r="A344" s="1" t="s">
        <v>345</v>
      </c>
      <c r="B344" s="2">
        <f>IFERROR(__xludf.DUMMYFUNCTION("VALUE(REGEXEXTRACT(A344, ""Time ([0-9.]+)s""))"),17.1)</f>
        <v>17.1</v>
      </c>
      <c r="C344" s="2">
        <f>IFERROR(__xludf.DUMMYFUNCTION("VALUE(REGEXEXTRACT(A344, ""Contact Quotient: ([0-9.]+)""))"),0.31)</f>
        <v>0.31</v>
      </c>
    </row>
    <row r="345">
      <c r="A345" s="1" t="s">
        <v>346</v>
      </c>
      <c r="B345" s="2">
        <f>IFERROR(__xludf.DUMMYFUNCTION("VALUE(REGEXEXTRACT(A345, ""Time ([0-9.]+)s""))"),17.15)</f>
        <v>17.15</v>
      </c>
      <c r="C345" s="2">
        <f>IFERROR(__xludf.DUMMYFUNCTION("VALUE(REGEXEXTRACT(A345, ""Contact Quotient: ([0-9.]+)""))"),0.31)</f>
        <v>0.31</v>
      </c>
    </row>
    <row r="346">
      <c r="A346" s="1" t="s">
        <v>347</v>
      </c>
      <c r="B346" s="2">
        <f>IFERROR(__xludf.DUMMYFUNCTION("VALUE(REGEXEXTRACT(A346, ""Time ([0-9.]+)s""))"),17.2)</f>
        <v>17.2</v>
      </c>
      <c r="C346" s="2">
        <f>IFERROR(__xludf.DUMMYFUNCTION("VALUE(REGEXEXTRACT(A346, ""Contact Quotient: ([0-9.]+)""))"),0.26)</f>
        <v>0.26</v>
      </c>
    </row>
    <row r="347">
      <c r="A347" s="1" t="s">
        <v>348</v>
      </c>
      <c r="B347" s="2">
        <f>IFERROR(__xludf.DUMMYFUNCTION("VALUE(REGEXEXTRACT(A347, ""Time ([0-9.]+)s""))"),17.25)</f>
        <v>17.25</v>
      </c>
      <c r="C347" s="2">
        <f>IFERROR(__xludf.DUMMYFUNCTION("VALUE(REGEXEXTRACT(A347, ""Contact Quotient: ([0-9.]+)""))"),0.31)</f>
        <v>0.31</v>
      </c>
    </row>
    <row r="348">
      <c r="A348" s="1" t="s">
        <v>349</v>
      </c>
      <c r="B348" s="2">
        <f>IFERROR(__xludf.DUMMYFUNCTION("VALUE(REGEXEXTRACT(A348, ""Time ([0-9.]+)s""))"),17.3)</f>
        <v>17.3</v>
      </c>
      <c r="C348" s="2">
        <f>IFERROR(__xludf.DUMMYFUNCTION("VALUE(REGEXEXTRACT(A348, ""Contact Quotient: ([0-9.]+)""))"),0.32)</f>
        <v>0.32</v>
      </c>
    </row>
    <row r="349">
      <c r="A349" s="1" t="s">
        <v>350</v>
      </c>
      <c r="B349" s="2">
        <f>IFERROR(__xludf.DUMMYFUNCTION("VALUE(REGEXEXTRACT(A349, ""Time ([0-9.]+)s""))"),17.35)</f>
        <v>17.35</v>
      </c>
      <c r="C349" s="2">
        <f>IFERROR(__xludf.DUMMYFUNCTION("VALUE(REGEXEXTRACT(A349, ""Contact Quotient: ([0-9.]+)""))"),0.32)</f>
        <v>0.32</v>
      </c>
    </row>
    <row r="350">
      <c r="A350" s="1" t="s">
        <v>351</v>
      </c>
      <c r="B350" s="2">
        <f>IFERROR(__xludf.DUMMYFUNCTION("VALUE(REGEXEXTRACT(A350, ""Time ([0-9.]+)s""))"),17.4)</f>
        <v>17.4</v>
      </c>
      <c r="C350" s="2">
        <f>IFERROR(__xludf.DUMMYFUNCTION("VALUE(REGEXEXTRACT(A350, ""Contact Quotient: ([0-9.]+)""))"),0.31)</f>
        <v>0.31</v>
      </c>
    </row>
    <row r="351">
      <c r="A351" s="1" t="s">
        <v>352</v>
      </c>
      <c r="B351" s="2">
        <f>IFERROR(__xludf.DUMMYFUNCTION("VALUE(REGEXEXTRACT(A351, ""Time ([0-9.]+)s""))"),17.45)</f>
        <v>17.45</v>
      </c>
      <c r="C351" s="2">
        <f>IFERROR(__xludf.DUMMYFUNCTION("VALUE(REGEXEXTRACT(A351, ""Contact Quotient: ([0-9.]+)""))"),0.3)</f>
        <v>0.3</v>
      </c>
    </row>
    <row r="352">
      <c r="A352" s="1" t="s">
        <v>353</v>
      </c>
      <c r="B352" s="2">
        <f>IFERROR(__xludf.DUMMYFUNCTION("VALUE(REGEXEXTRACT(A352, ""Time ([0-9.]+)s""))"),17.5)</f>
        <v>17.5</v>
      </c>
      <c r="C352" s="2">
        <f>IFERROR(__xludf.DUMMYFUNCTION("VALUE(REGEXEXTRACT(A352, ""Contact Quotient: ([0-9.]+)""))"),0.31)</f>
        <v>0.31</v>
      </c>
    </row>
    <row r="353">
      <c r="A353" s="1" t="s">
        <v>354</v>
      </c>
      <c r="B353" s="2">
        <f>IFERROR(__xludf.DUMMYFUNCTION("VALUE(REGEXEXTRACT(A353, ""Time ([0-9.]+)s""))"),17.55)</f>
        <v>17.55</v>
      </c>
      <c r="C353" s="2">
        <f>IFERROR(__xludf.DUMMYFUNCTION("VALUE(REGEXEXTRACT(A353, ""Contact Quotient: ([0-9.]+)""))"),0.35)</f>
        <v>0.35</v>
      </c>
    </row>
    <row r="354">
      <c r="A354" s="1" t="s">
        <v>355</v>
      </c>
      <c r="B354" s="2">
        <f>IFERROR(__xludf.DUMMYFUNCTION("VALUE(REGEXEXTRACT(A354, ""Time ([0-9.]+)s""))"),17.6)</f>
        <v>17.6</v>
      </c>
      <c r="C354" s="2">
        <f>IFERROR(__xludf.DUMMYFUNCTION("VALUE(REGEXEXTRACT(A354, ""Contact Quotient: ([0-9.]+)""))"),0.35)</f>
        <v>0.35</v>
      </c>
    </row>
    <row r="355">
      <c r="A355" s="1" t="s">
        <v>356</v>
      </c>
      <c r="B355" s="2">
        <f>IFERROR(__xludf.DUMMYFUNCTION("VALUE(REGEXEXTRACT(A355, ""Time ([0-9.]+)s""))"),17.65)</f>
        <v>17.65</v>
      </c>
      <c r="C355" s="2">
        <f>IFERROR(__xludf.DUMMYFUNCTION("VALUE(REGEXEXTRACT(A355, ""Contact Quotient: ([0-9.]+)""))"),0.35)</f>
        <v>0.35</v>
      </c>
    </row>
    <row r="356">
      <c r="A356" s="1" t="s">
        <v>357</v>
      </c>
      <c r="B356" s="2">
        <f>IFERROR(__xludf.DUMMYFUNCTION("VALUE(REGEXEXTRACT(A356, ""Time ([0-9.]+)s""))"),17.7)</f>
        <v>17.7</v>
      </c>
      <c r="C356" s="2">
        <f>IFERROR(__xludf.DUMMYFUNCTION("VALUE(REGEXEXTRACT(A356, ""Contact Quotient: ([0-9.]+)""))"),0.32)</f>
        <v>0.32</v>
      </c>
    </row>
    <row r="357">
      <c r="A357" s="1" t="s">
        <v>358</v>
      </c>
      <c r="B357" s="2">
        <f>IFERROR(__xludf.DUMMYFUNCTION("VALUE(REGEXEXTRACT(A357, ""Time ([0-9.]+)s""))"),17.75)</f>
        <v>17.75</v>
      </c>
      <c r="C357" s="2">
        <f>IFERROR(__xludf.DUMMYFUNCTION("VALUE(REGEXEXTRACT(A357, ""Contact Quotient: ([0-9.]+)""))"),0.3)</f>
        <v>0.3</v>
      </c>
    </row>
    <row r="358">
      <c r="A358" s="1" t="s">
        <v>359</v>
      </c>
      <c r="B358" s="2">
        <f>IFERROR(__xludf.DUMMYFUNCTION("VALUE(REGEXEXTRACT(A358, ""Time ([0-9.]+)s""))"),17.8)</f>
        <v>17.8</v>
      </c>
      <c r="C358" s="2">
        <f>IFERROR(__xludf.DUMMYFUNCTION("VALUE(REGEXEXTRACT(A358, ""Contact Quotient: ([0-9.]+)""))"),0.31)</f>
        <v>0.31</v>
      </c>
    </row>
    <row r="359">
      <c r="A359" s="1" t="s">
        <v>360</v>
      </c>
      <c r="B359" s="2">
        <f>IFERROR(__xludf.DUMMYFUNCTION("VALUE(REGEXEXTRACT(A359, ""Time ([0-9.]+)s""))"),17.85)</f>
        <v>17.85</v>
      </c>
      <c r="C359" s="2">
        <f>IFERROR(__xludf.DUMMYFUNCTION("VALUE(REGEXEXTRACT(A359, ""Contact Quotient: ([0-9.]+)""))"),0.34)</f>
        <v>0.34</v>
      </c>
    </row>
    <row r="360">
      <c r="A360" s="1" t="s">
        <v>361</v>
      </c>
      <c r="B360" s="2">
        <f>IFERROR(__xludf.DUMMYFUNCTION("VALUE(REGEXEXTRACT(A360, ""Time ([0-9.]+)s""))"),17.9)</f>
        <v>17.9</v>
      </c>
      <c r="C360" s="2">
        <f>IFERROR(__xludf.DUMMYFUNCTION("VALUE(REGEXEXTRACT(A360, ""Contact Quotient: ([0-9.]+)""))"),0.34)</f>
        <v>0.34</v>
      </c>
    </row>
    <row r="361">
      <c r="A361" s="1" t="s">
        <v>362</v>
      </c>
      <c r="B361" s="2">
        <f>IFERROR(__xludf.DUMMYFUNCTION("VALUE(REGEXEXTRACT(A361, ""Time ([0-9.]+)s""))"),17.95)</f>
        <v>17.95</v>
      </c>
      <c r="C361" s="2">
        <f>IFERROR(__xludf.DUMMYFUNCTION("VALUE(REGEXEXTRACT(A361, ""Contact Quotient: ([0-9.]+)""))"),0.32)</f>
        <v>0.32</v>
      </c>
    </row>
    <row r="362">
      <c r="A362" s="1" t="s">
        <v>363</v>
      </c>
      <c r="B362" s="2">
        <f>IFERROR(__xludf.DUMMYFUNCTION("VALUE(REGEXEXTRACT(A362, ""Time ([0-9.]+)s""))"),18.0)</f>
        <v>18</v>
      </c>
      <c r="C362" s="2">
        <f>IFERROR(__xludf.DUMMYFUNCTION("VALUE(REGEXEXTRACT(A362, ""Contact Quotient: ([0-9.]+)""))"),0.3)</f>
        <v>0.3</v>
      </c>
    </row>
    <row r="363">
      <c r="A363" s="1" t="s">
        <v>364</v>
      </c>
      <c r="B363" s="2">
        <f>IFERROR(__xludf.DUMMYFUNCTION("VALUE(REGEXEXTRACT(A363, ""Time ([0-9.]+)s""))"),18.05)</f>
        <v>18.05</v>
      </c>
      <c r="C363" s="2">
        <f>IFERROR(__xludf.DUMMYFUNCTION("VALUE(REGEXEXTRACT(A363, ""Contact Quotient: ([0-9.]+)""))"),0.29)</f>
        <v>0.29</v>
      </c>
    </row>
    <row r="364">
      <c r="A364" s="1" t="s">
        <v>365</v>
      </c>
      <c r="B364" s="2">
        <f>IFERROR(__xludf.DUMMYFUNCTION("VALUE(REGEXEXTRACT(A364, ""Time ([0-9.]+)s""))"),18.1)</f>
        <v>18.1</v>
      </c>
      <c r="C364" s="2">
        <f>IFERROR(__xludf.DUMMYFUNCTION("VALUE(REGEXEXTRACT(A364, ""Contact Quotient: ([0-9.]+)""))"),0.3)</f>
        <v>0.3</v>
      </c>
    </row>
    <row r="365">
      <c r="A365" s="1" t="s">
        <v>366</v>
      </c>
      <c r="B365" s="2">
        <f>IFERROR(__xludf.DUMMYFUNCTION("VALUE(REGEXEXTRACT(A365, ""Time ([0-9.]+)s""))"),18.15)</f>
        <v>18.15</v>
      </c>
      <c r="C365" s="2">
        <f>IFERROR(__xludf.DUMMYFUNCTION("VALUE(REGEXEXTRACT(A365, ""Contact Quotient: ([0-9.]+)""))"),0.34)</f>
        <v>0.34</v>
      </c>
    </row>
    <row r="366">
      <c r="A366" s="1" t="s">
        <v>367</v>
      </c>
      <c r="B366" s="2">
        <f>IFERROR(__xludf.DUMMYFUNCTION("VALUE(REGEXEXTRACT(A366, ""Time ([0-9.]+)s""))"),18.2)</f>
        <v>18.2</v>
      </c>
      <c r="C366" s="2">
        <f>IFERROR(__xludf.DUMMYFUNCTION("VALUE(REGEXEXTRACT(A366, ""Contact Quotient: ([0-9.]+)""))"),0.34)</f>
        <v>0.34</v>
      </c>
    </row>
    <row r="367">
      <c r="A367" s="1" t="s">
        <v>368</v>
      </c>
      <c r="B367" s="2">
        <f>IFERROR(__xludf.DUMMYFUNCTION("VALUE(REGEXEXTRACT(A367, ""Time ([0-9.]+)s""))"),18.25)</f>
        <v>18.25</v>
      </c>
      <c r="C367" s="2">
        <f>IFERROR(__xludf.DUMMYFUNCTION("VALUE(REGEXEXTRACT(A367, ""Contact Quotient: ([0-9.]+)""))"),0.31)</f>
        <v>0.31</v>
      </c>
    </row>
    <row r="368">
      <c r="A368" s="1" t="s">
        <v>369</v>
      </c>
      <c r="B368" s="2">
        <f>IFERROR(__xludf.DUMMYFUNCTION("VALUE(REGEXEXTRACT(A368, ""Time ([0-9.]+)s""))"),18.3)</f>
        <v>18.3</v>
      </c>
      <c r="C368" s="2">
        <f>IFERROR(__xludf.DUMMYFUNCTION("VALUE(REGEXEXTRACT(A368, ""Contact Quotient: ([0-9.]+)""))"),0.3)</f>
        <v>0.3</v>
      </c>
    </row>
    <row r="369">
      <c r="A369" s="1" t="s">
        <v>370</v>
      </c>
      <c r="B369" s="2">
        <f>IFERROR(__xludf.DUMMYFUNCTION("VALUE(REGEXEXTRACT(A369, ""Time ([0-9.]+)s""))"),18.35)</f>
        <v>18.35</v>
      </c>
      <c r="C369" s="2">
        <f>IFERROR(__xludf.DUMMYFUNCTION("VALUE(REGEXEXTRACT(A369, ""Contact Quotient: ([0-9.]+)""))"),0.28)</f>
        <v>0.28</v>
      </c>
    </row>
    <row r="370">
      <c r="A370" s="1" t="s">
        <v>371</v>
      </c>
      <c r="B370" s="2">
        <f>IFERROR(__xludf.DUMMYFUNCTION("VALUE(REGEXEXTRACT(A370, ""Time ([0-9.]+)s""))"),18.4)</f>
        <v>18.4</v>
      </c>
      <c r="C370" s="2">
        <f>IFERROR(__xludf.DUMMYFUNCTION("VALUE(REGEXEXTRACT(A370, ""Contact Quotient: ([0-9.]+)""))"),0.33)</f>
        <v>0.33</v>
      </c>
    </row>
    <row r="371">
      <c r="A371" s="1" t="s">
        <v>372</v>
      </c>
      <c r="B371" s="2">
        <f>IFERROR(__xludf.DUMMYFUNCTION("VALUE(REGEXEXTRACT(A371, ""Time ([0-9.]+)s""))"),18.45)</f>
        <v>18.45</v>
      </c>
      <c r="C371" s="2">
        <f>IFERROR(__xludf.DUMMYFUNCTION("VALUE(REGEXEXTRACT(A371, ""Contact Quotient: ([0-9.]+)""))"),0.35)</f>
        <v>0.35</v>
      </c>
    </row>
    <row r="372">
      <c r="A372" s="1" t="s">
        <v>373</v>
      </c>
      <c r="B372" s="2">
        <f>IFERROR(__xludf.DUMMYFUNCTION("VALUE(REGEXEXTRACT(A372, ""Time ([0-9.]+)s""))"),18.5)</f>
        <v>18.5</v>
      </c>
      <c r="C372" s="2">
        <f>IFERROR(__xludf.DUMMYFUNCTION("VALUE(REGEXEXTRACT(A372, ""Contact Quotient: ([0-9.]+)""))"),0.33)</f>
        <v>0.33</v>
      </c>
    </row>
    <row r="373">
      <c r="A373" s="1" t="s">
        <v>374</v>
      </c>
      <c r="B373" s="2">
        <f>IFERROR(__xludf.DUMMYFUNCTION("VALUE(REGEXEXTRACT(A373, ""Time ([0-9.]+)s""))"),18.55)</f>
        <v>18.55</v>
      </c>
      <c r="C373" s="2">
        <f>IFERROR(__xludf.DUMMYFUNCTION("VALUE(REGEXEXTRACT(A373, ""Contact Quotient: ([0-9.]+)""))"),0.32)</f>
        <v>0.32</v>
      </c>
    </row>
    <row r="374">
      <c r="A374" s="1" t="s">
        <v>375</v>
      </c>
      <c r="B374" s="2">
        <f>IFERROR(__xludf.DUMMYFUNCTION("VALUE(REGEXEXTRACT(A374, ""Time ([0-9.]+)s""))"),18.6)</f>
        <v>18.6</v>
      </c>
      <c r="C374" s="2">
        <f>IFERROR(__xludf.DUMMYFUNCTION("VALUE(REGEXEXTRACT(A374, ""Contact Quotient: ([0-9.]+)""))"),0.32)</f>
        <v>0.32</v>
      </c>
    </row>
    <row r="375">
      <c r="A375" s="1" t="s">
        <v>376</v>
      </c>
      <c r="B375" s="2">
        <f>IFERROR(__xludf.DUMMYFUNCTION("VALUE(REGEXEXTRACT(A375, ""Time ([0-9.]+)s""))"),18.65)</f>
        <v>18.65</v>
      </c>
      <c r="C375" s="2">
        <f>IFERROR(__xludf.DUMMYFUNCTION("VALUE(REGEXEXTRACT(A375, ""Contact Quotient: ([0-9.]+)""))"),0.3)</f>
        <v>0.3</v>
      </c>
    </row>
    <row r="376">
      <c r="A376" s="1" t="s">
        <v>377</v>
      </c>
      <c r="B376" s="2">
        <f>IFERROR(__xludf.DUMMYFUNCTION("VALUE(REGEXEXTRACT(A376, ""Time ([0-9.]+)s""))"),18.7)</f>
        <v>18.7</v>
      </c>
      <c r="C376" s="2">
        <f>IFERROR(__xludf.DUMMYFUNCTION("VALUE(REGEXEXTRACT(A376, ""Contact Quotient: ([0-9.]+)""))"),0.37)</f>
        <v>0.37</v>
      </c>
    </row>
    <row r="377">
      <c r="A377" s="1" t="s">
        <v>378</v>
      </c>
      <c r="B377" s="2">
        <f>IFERROR(__xludf.DUMMYFUNCTION("VALUE(REGEXEXTRACT(A377, ""Time ([0-9.]+)s""))"),18.75)</f>
        <v>18.75</v>
      </c>
      <c r="C377" s="2">
        <f>IFERROR(__xludf.DUMMYFUNCTION("VALUE(REGEXEXTRACT(A377, ""Contact Quotient: ([0-9.]+)""))"),0.38)</f>
        <v>0.38</v>
      </c>
    </row>
    <row r="378">
      <c r="A378" s="1" t="s">
        <v>379</v>
      </c>
      <c r="B378" s="2">
        <f>IFERROR(__xludf.DUMMYFUNCTION("VALUE(REGEXEXTRACT(A378, ""Time ([0-9.]+)s""))"),18.8)</f>
        <v>18.8</v>
      </c>
      <c r="C378" s="2">
        <f>IFERROR(__xludf.DUMMYFUNCTION("VALUE(REGEXEXTRACT(A378, ""Contact Quotient: ([0-9.]+)""))"),0.39)</f>
        <v>0.39</v>
      </c>
    </row>
    <row r="379">
      <c r="A379" s="1" t="s">
        <v>380</v>
      </c>
      <c r="B379" s="2">
        <f>IFERROR(__xludf.DUMMYFUNCTION("VALUE(REGEXEXTRACT(A379, ""Time ([0-9.]+)s""))"),18.85)</f>
        <v>18.85</v>
      </c>
      <c r="C379" s="2">
        <f>IFERROR(__xludf.DUMMYFUNCTION("VALUE(REGEXEXTRACT(A379, ""Contact Quotient: ([0-9.]+)""))"),0.37)</f>
        <v>0.37</v>
      </c>
    </row>
    <row r="380">
      <c r="A380" s="1" t="s">
        <v>381</v>
      </c>
      <c r="B380" s="2">
        <f>IFERROR(__xludf.DUMMYFUNCTION("VALUE(REGEXEXTRACT(A380, ""Time ([0-9.]+)s""))"),18.9)</f>
        <v>18.9</v>
      </c>
      <c r="C380" s="2">
        <f>IFERROR(__xludf.DUMMYFUNCTION("VALUE(REGEXEXTRACT(A380, ""Contact Quotient: ([0-9.]+)""))"),0.36)</f>
        <v>0.36</v>
      </c>
    </row>
    <row r="381">
      <c r="A381" s="1" t="s">
        <v>382</v>
      </c>
      <c r="B381" s="2">
        <f>IFERROR(__xludf.DUMMYFUNCTION("VALUE(REGEXEXTRACT(A381, ""Time ([0-9.]+)s""))"),18.95)</f>
        <v>18.95</v>
      </c>
      <c r="C381" s="2">
        <f>IFERROR(__xludf.DUMMYFUNCTION("VALUE(REGEXEXTRACT(A381, ""Contact Quotient: ([0-9.]+)""))"),0.39)</f>
        <v>0.39</v>
      </c>
    </row>
    <row r="382">
      <c r="A382" s="1" t="s">
        <v>383</v>
      </c>
      <c r="B382" s="2">
        <f>IFERROR(__xludf.DUMMYFUNCTION("VALUE(REGEXEXTRACT(A382, ""Time ([0-9.]+)s""))"),19.0)</f>
        <v>19</v>
      </c>
      <c r="C382" s="2">
        <f>IFERROR(__xludf.DUMMYFUNCTION("VALUE(REGEXEXTRACT(A382, ""Contact Quotient: ([0-9.]+)""))"),0.38)</f>
        <v>0.38</v>
      </c>
    </row>
    <row r="383">
      <c r="A383" s="1" t="s">
        <v>384</v>
      </c>
      <c r="B383" s="2">
        <f>IFERROR(__xludf.DUMMYFUNCTION("VALUE(REGEXEXTRACT(A383, ""Time ([0-9.]+)s""))"),19.05)</f>
        <v>19.05</v>
      </c>
      <c r="C383" s="2">
        <f>IFERROR(__xludf.DUMMYFUNCTION("VALUE(REGEXEXTRACT(A383, ""Contact Quotient: ([0-9.]+)""))"),0.37)</f>
        <v>0.37</v>
      </c>
    </row>
    <row r="384">
      <c r="A384" s="1" t="s">
        <v>385</v>
      </c>
      <c r="B384" s="2">
        <f>IFERROR(__xludf.DUMMYFUNCTION("VALUE(REGEXEXTRACT(A384, ""Time ([0-9.]+)s""))"),19.1)</f>
        <v>19.1</v>
      </c>
      <c r="C384" s="2">
        <f>IFERROR(__xludf.DUMMYFUNCTION("VALUE(REGEXEXTRACT(A384, ""Contact Quotient: ([0-9.]+)""))"),0.34)</f>
        <v>0.34</v>
      </c>
    </row>
  </sheetData>
  <drawing r:id="rId1"/>
</worksheet>
</file>